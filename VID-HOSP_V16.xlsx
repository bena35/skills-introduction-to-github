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202300"/>
  <mc:AlternateContent xmlns:mc="http://schemas.openxmlformats.org/markup-compatibility/2006">
    <mc:Choice Requires="x15">
      <x15ac:absPath xmlns:x15ac="http://schemas.microsoft.com/office/spreadsheetml/2010/11/ac" url="C:\Users\benac2\OneDrive - ASSOCIATION DES SERVICES INTER-ASSOCIATIFS\Documents\TIM_ASIA\FORMAT-PSY 2023-2024\"/>
    </mc:Choice>
  </mc:AlternateContent>
  <xr:revisionPtr revIDLastSave="0" documentId="8_{FD713145-E4D3-4542-9ECC-BACD466B48B8}" xr6:coauthVersionLast="47" xr6:coauthVersionMax="47" xr10:uidLastSave="{00000000-0000-0000-0000-000000000000}"/>
  <bookViews>
    <workbookView xWindow="-108" yWindow="-108" windowWidth="23256" windowHeight="13896" xr2:uid="{11708D8D-2C25-4239-B5AA-B822EF566E23}"/>
  </bookViews>
  <sheets>
    <sheet name="VID-HOSP_V1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 i="1" l="1"/>
  <c r="C5" i="1" s="1"/>
  <c r="D5" i="1" s="1"/>
  <c r="C6" i="1" s="1"/>
  <c r="D6" i="1" s="1"/>
  <c r="C7" i="1" s="1"/>
  <c r="D7" i="1" s="1"/>
  <c r="C8" i="1" s="1"/>
  <c r="D8" i="1" s="1"/>
  <c r="C9" i="1" s="1"/>
  <c r="D9" i="1" s="1"/>
  <c r="C10" i="1" s="1"/>
  <c r="D10" i="1" s="1"/>
  <c r="C11" i="1" s="1"/>
  <c r="D11" i="1" s="1"/>
  <c r="C12" i="1" s="1"/>
  <c r="D12" i="1" s="1"/>
  <c r="C13" i="1" s="1"/>
  <c r="D13" i="1" s="1"/>
  <c r="C14" i="1" s="1"/>
  <c r="D14" i="1" s="1"/>
  <c r="C15" i="1" s="1"/>
  <c r="D15" i="1" s="1"/>
  <c r="C16" i="1" s="1"/>
  <c r="D16" i="1" s="1"/>
  <c r="C17" i="1" s="1"/>
  <c r="D17" i="1" s="1"/>
  <c r="C18" i="1" s="1"/>
  <c r="D18" i="1" s="1"/>
  <c r="C19" i="1" s="1"/>
  <c r="D19" i="1" s="1"/>
  <c r="C20" i="1" s="1"/>
  <c r="D20" i="1" s="1"/>
  <c r="C21" i="1" s="1"/>
  <c r="D21" i="1" s="1"/>
  <c r="C22" i="1" s="1"/>
  <c r="D22" i="1" s="1"/>
  <c r="C23" i="1" s="1"/>
  <c r="D23" i="1" s="1"/>
  <c r="C24" i="1" s="1"/>
  <c r="D24" i="1" s="1"/>
  <c r="C25" i="1" s="1"/>
  <c r="D25" i="1" s="1"/>
  <c r="C26" i="1" s="1"/>
  <c r="D26" i="1" s="1"/>
  <c r="C27" i="1" s="1"/>
  <c r="D27" i="1" s="1"/>
  <c r="C28" i="1" s="1"/>
  <c r="D28" i="1" s="1"/>
  <c r="C29" i="1" s="1"/>
  <c r="D29" i="1" s="1"/>
  <c r="C30" i="1" s="1"/>
  <c r="D30" i="1" s="1"/>
  <c r="C31" i="1" s="1"/>
  <c r="D31" i="1" s="1"/>
  <c r="C32" i="1" s="1"/>
  <c r="D32" i="1" s="1"/>
  <c r="C33" i="1" s="1"/>
  <c r="D33" i="1" s="1"/>
  <c r="C34" i="1" s="1"/>
  <c r="D34" i="1" s="1"/>
  <c r="C35" i="1" s="1"/>
  <c r="D35" i="1" s="1"/>
  <c r="C36" i="1" s="1"/>
  <c r="D36" i="1" s="1"/>
  <c r="C37" i="1" s="1"/>
  <c r="D37" i="1" s="1"/>
  <c r="C38" i="1" s="1"/>
  <c r="D38" i="1" s="1"/>
  <c r="C39" i="1" s="1"/>
  <c r="D39" i="1" s="1"/>
  <c r="C40" i="1" s="1"/>
  <c r="D40" i="1" s="1"/>
  <c r="C41" i="1" s="1"/>
  <c r="D41" i="1" s="1"/>
  <c r="C42" i="1" s="1"/>
  <c r="D42" i="1" s="1"/>
  <c r="C43" i="1" s="1"/>
  <c r="D43" i="1" s="1"/>
  <c r="C44" i="1" s="1"/>
  <c r="D44" i="1" s="1"/>
  <c r="C45" i="1" s="1"/>
  <c r="D45" i="1" s="1"/>
  <c r="C46" i="1" s="1"/>
  <c r="D46" i="1" s="1"/>
  <c r="C47" i="1" s="1"/>
  <c r="D47" i="1" s="1"/>
  <c r="C48" i="1" s="1"/>
  <c r="D48" i="1" s="1"/>
  <c r="C49" i="1" s="1"/>
  <c r="D49" i="1" s="1"/>
  <c r="C50" i="1" s="1"/>
  <c r="D50" i="1" s="1"/>
  <c r="C51" i="1" s="1"/>
  <c r="D51" i="1" s="1"/>
  <c r="C52" i="1" s="1"/>
  <c r="D52" i="1" s="1"/>
  <c r="C53" i="1" s="1"/>
  <c r="D53" i="1" s="1"/>
  <c r="C54" i="1" s="1"/>
  <c r="D54" i="1" s="1"/>
  <c r="C55" i="1" s="1"/>
  <c r="D55" i="1" s="1"/>
  <c r="C56" i="1" s="1"/>
  <c r="D56" i="1" s="1"/>
  <c r="C57" i="1" s="1"/>
  <c r="D57" i="1" s="1"/>
  <c r="C58" i="1" s="1"/>
  <c r="D58" i="1" s="1"/>
  <c r="C59" i="1" s="1"/>
  <c r="D59" i="1" s="1"/>
  <c r="C60" i="1" s="1"/>
  <c r="D60" i="1" s="1"/>
  <c r="C61" i="1" s="1"/>
  <c r="D61" i="1" s="1"/>
  <c r="C62" i="1" s="1"/>
  <c r="D62" i="1" s="1"/>
  <c r="C63" i="1" s="1"/>
  <c r="D63" i="1" s="1"/>
  <c r="C64" i="1" s="1"/>
  <c r="D64" i="1" s="1"/>
  <c r="C65" i="1" s="1"/>
  <c r="D65" i="1" s="1"/>
  <c r="C66" i="1" s="1"/>
  <c r="D66" i="1" s="1"/>
  <c r="C67" i="1" s="1"/>
  <c r="D67" i="1" s="1"/>
  <c r="C68" i="1" s="1"/>
  <c r="D68" i="1" s="1"/>
  <c r="C69" i="1" s="1"/>
  <c r="D69" i="1" s="1"/>
  <c r="C70" i="1" s="1"/>
  <c r="D70" i="1" s="1"/>
  <c r="C71" i="1" s="1"/>
  <c r="D71" i="1" s="1"/>
  <c r="C72" i="1" s="1"/>
  <c r="D72" i="1" s="1"/>
  <c r="C73" i="1" s="1"/>
  <c r="D73" i="1" s="1"/>
  <c r="C74" i="1" s="1"/>
  <c r="D74" i="1" s="1"/>
  <c r="C75" i="1" s="1"/>
  <c r="D75" i="1" s="1"/>
  <c r="C76" i="1" s="1"/>
  <c r="D76" i="1" s="1"/>
  <c r="C77" i="1" s="1"/>
  <c r="D77" i="1" s="1"/>
  <c r="C78" i="1" s="1"/>
  <c r="D78" i="1" s="1"/>
  <c r="C79" i="1" s="1"/>
  <c r="D79" i="1" s="1"/>
  <c r="C80" i="1" s="1"/>
  <c r="D80" i="1" s="1"/>
  <c r="C81" i="1" s="1"/>
  <c r="D81" i="1" s="1"/>
  <c r="C82" i="1" s="1"/>
  <c r="D82" i="1" s="1"/>
  <c r="C83" i="1" s="1"/>
  <c r="D83" i="1" s="1"/>
  <c r="C84" i="1" s="1"/>
  <c r="D84" i="1" s="1"/>
  <c r="C85" i="1" s="1"/>
  <c r="D85" i="1" s="1"/>
</calcChain>
</file>

<file path=xl/sharedStrings.xml><?xml version="1.0" encoding="utf-8"?>
<sst xmlns="http://schemas.openxmlformats.org/spreadsheetml/2006/main" count="315" uniqueCount="192">
  <si>
    <t>VID-HOSP V016 pour 2026</t>
  </si>
  <si>
    <t>A partir de M1 2026</t>
  </si>
  <si>
    <t>ex-DGF</t>
  </si>
  <si>
    <t>Nom</t>
  </si>
  <si>
    <t>Taille</t>
  </si>
  <si>
    <t>Début</t>
  </si>
  <si>
    <t>Fin</t>
  </si>
  <si>
    <t>Type de la norme (B2 *)</t>
  </si>
  <si>
    <t>Position dans la norme</t>
  </si>
  <si>
    <t>Obligatoire</t>
  </si>
  <si>
    <t>Consignes</t>
  </si>
  <si>
    <t>N° immatriculation assuré</t>
  </si>
  <si>
    <t>O</t>
  </si>
  <si>
    <t xml:space="preserve">A prendre sur l’attestation de droits, la carte Vitale ou la prise en charge. </t>
  </si>
  <si>
    <t>Clé du N° immatriculation</t>
  </si>
  <si>
    <t xml:space="preserve">25-26 </t>
  </si>
  <si>
    <t xml:space="preserve">A prendre sur l’attestation de droits, la carte Vitale ou la prise en charge.. Clé à contrôler après la saisie annexe 5 </t>
  </si>
  <si>
    <t>Code Grand Régime</t>
  </si>
  <si>
    <t xml:space="preserve">49-50 </t>
  </si>
  <si>
    <t>A prendre sur l’attestation de droits, la carte Vitale ou la prise en charge. Voir codification annexe 2</t>
  </si>
  <si>
    <t>Code gestion</t>
  </si>
  <si>
    <t>Reporter l’information figurant dans la zone « régime obligatoire » de la carte vitale</t>
  </si>
  <si>
    <t>Date de naissance du bénéficiaire</t>
  </si>
  <si>
    <t xml:space="preserve">96-101 </t>
  </si>
  <si>
    <t>Indiquer ici la date de naissance du bénéficiaire. ATTENTION format différent de B2 JJMMAAAA</t>
  </si>
  <si>
    <t>Sexe du bénéficiaire</t>
  </si>
  <si>
    <t>1 = homme, 2 = femme, 3 =indéterminé (autorisé à partir de M3 2023)</t>
  </si>
  <si>
    <t>N° administratif de séjour</t>
  </si>
  <si>
    <t>N° format VID-HOSP</t>
  </si>
  <si>
    <t>V016</t>
  </si>
  <si>
    <t>N° FINESS d’inscription  e-PMSI</t>
  </si>
  <si>
    <t>N° immatriculation individuel</t>
  </si>
  <si>
    <t>2S</t>
  </si>
  <si>
    <t>50-62</t>
  </si>
  <si>
    <t>F</t>
  </si>
  <si>
    <t>A renseigner si l’information est présente sur la carte Vitale, l’attestation Clé à contrôler après la saisie, cf. annexe 5  de la norme B2</t>
  </si>
  <si>
    <t>Clé du N° immatriculation individuel</t>
  </si>
  <si>
    <t>63-64</t>
  </si>
  <si>
    <t>A prendre sur le même support que le n° immatriculation. Clé à contrôler après la saisie, cf. annexe 5  de la norme B2</t>
  </si>
  <si>
    <t>Justification d’exonération ou de modulation du ticket modérateur</t>
  </si>
  <si>
    <t>Précise et justifie l’exonération ou la modulation du ticket modérateur appliqué aux soins facturés. Cf. codification annexe 9. 
Cette justification vaut pour la totalité de la facture, sauf indication contraire au niveau de la ligne dans le type 3 (position 64) ou le Type 4 (position 54) en Norme CP.</t>
  </si>
  <si>
    <t>Code de prise en charge du forfait journalier</t>
  </si>
  <si>
    <t>Nature d’assurance</t>
  </si>
  <si>
    <t xml:space="preserve">77-78 </t>
  </si>
  <si>
    <t>10 : maladie / 13 : maladie régime local Alsace-Moselle / 30 : maternité / 41 : accident du travail / 90 : prévention maladie</t>
  </si>
  <si>
    <t xml:space="preserve">Type de contrat </t>
  </si>
  <si>
    <t xml:space="preserve">117-118 </t>
  </si>
  <si>
    <t>Indiquer le type de contrat codification fournie par la caisse.
85 : sortants du dispositif CMUC (géré par un organisme obligatoire)
87 : sortants du dispositif CMUC (géré par un organisme complémentaire)
88 : aide à la mutualisation (panier de biens = panier CMUC)
89 : bénéficiaire de la CMU complémentaire (en cours), quel que soit le gestionnaire</t>
  </si>
  <si>
    <t>Séjour facturable à l'assurance maladie</t>
  </si>
  <si>
    <t>Motif de la non facturation à l'assurance maladie</t>
  </si>
  <si>
    <t>N</t>
  </si>
  <si>
    <t>Valeurs acceptées {' ',1, 2, 3, 4, 5, 6, 7, 8, 9, E}</t>
  </si>
  <si>
    <t>Facturation du 18 €</t>
  </si>
  <si>
    <t> Participation forfaitaire de 18€ en cas de réalisation d’actes coûteux au cours de la prise en charge</t>
  </si>
  <si>
    <t>Nombre de venues de la facture</t>
  </si>
  <si>
    <t>Montant à facturer au titre du TM</t>
  </si>
  <si>
    <t>Montant à facturer au titre du FJ</t>
  </si>
  <si>
    <t>Montant total du séjour remboursable pour l'AMO (i.e. hors prestations annexes)</t>
  </si>
  <si>
    <t>Montant lié à la majoration au parcours de soins</t>
  </si>
  <si>
    <t>Montant base remboursement</t>
  </si>
  <si>
    <t>Taux de remboursement</t>
  </si>
  <si>
    <t>Patient bénéficiaire de la CMU</t>
  </si>
  <si>
    <t>0 : Non | 1 : Oui, laisser à vide si pas d'information</t>
  </si>
  <si>
    <t>N° administratif de séjour de la mère</t>
  </si>
  <si>
    <t>A renseigner pour tous les nouveau-nés dont la mère est hospitalisée dans l’établissement</t>
  </si>
  <si>
    <t>Hospitalisation d'un nouveau-né auprès de la mère</t>
  </si>
  <si>
    <t>1 pour oui laisser à vide sinon</t>
  </si>
  <si>
    <t>Hospitalisation pour prélèvement d'organes</t>
  </si>
  <si>
    <t xml:space="preserve">non utilisé pour les séjours après mars 2023 </t>
  </si>
  <si>
    <t xml:space="preserve">Date de l’hospitalisation </t>
  </si>
  <si>
    <t xml:space="preserve">80-85 </t>
  </si>
  <si>
    <t>Date du début de l’hospitalisation quel que soit l’établissement (en cas de transfert par exemple). ATTENTION format différent de B2 JJMMAAAA</t>
  </si>
  <si>
    <t>Montant total du séjour remboursable pour l'AMC</t>
  </si>
  <si>
    <t>Dans le cas d’un séjour normal, il doit correspondre au montant du reste à charge patient hors prestations annexes. Il doit être renseigné même si le patient n’a pas d’assurance complémentaire.</t>
  </si>
  <si>
    <t>Code participation assuré</t>
  </si>
  <si>
    <t xml:space="preserve">N° d’entrée </t>
  </si>
  <si>
    <t xml:space="preserve">40-48 </t>
  </si>
  <si>
    <t>N° attribué par l’établissement</t>
  </si>
  <si>
    <t>Rang de naissance</t>
  </si>
  <si>
    <t>Rang du bénéficiaire</t>
  </si>
  <si>
    <t xml:space="preserve">27-29 </t>
  </si>
  <si>
    <t>Valeur 000 pour le régime général. A prendre sur l’attestation de droits ou la prise en charge pour autres régimes si présent</t>
  </si>
  <si>
    <t>N° caisse gestionnaire</t>
  </si>
  <si>
    <t xml:space="preserve">51-53 </t>
  </si>
  <si>
    <t>A prendre sur l’attestation de droits, la carte Vitale ou la prise en charge. Voir codification annexe 3</t>
  </si>
  <si>
    <t>N° centre gestionnaire</t>
  </si>
  <si>
    <t xml:space="preserve">54-57 </t>
  </si>
  <si>
    <t>A prendre sur l’attestation de droits, la carte Vitale ou la prise en charge. Pour le RSI : cadrage du numéro de centre à gauche, le 4ème caractère doit être renseigné par un 0 en position 57</t>
  </si>
  <si>
    <t>Filler</t>
  </si>
  <si>
    <t xml:space="preserve">Réservé pour usage futur ; </t>
  </si>
  <si>
    <t xml:space="preserve">Confirmation de la prise en charge dans le cadre du dispositif des soins urgents </t>
  </si>
  <si>
    <t>Numéro accident du travail ou date d’accident de droit commun</t>
  </si>
  <si>
    <t xml:space="preserve">86-94 </t>
  </si>
  <si>
    <t>L’organisme obligatoire peut selon conventions régler directement la part de l’organisme complémentaire à l’établissement ou à l’assuré ou transmettre l’image de son décompte à l’organisme complémentaire. Lorsque l’établissement pratique un tiers payant sur la part complémentaire, il doit obligatoirement positionner le n° de l’organisme complémentaire, cadré à droite, et complété par des zéros à gauche, ou le top mutualiste «M » en position 128, la zone étant complétée par des blancs.</t>
  </si>
  <si>
    <t>N° d’organisme complémentaire</t>
  </si>
  <si>
    <t xml:space="preserve">119-128 </t>
  </si>
  <si>
    <t>Nature de la pièce justificative des droits</t>
  </si>
  <si>
    <t>Voir codification en annexe 8 - JUSTIFICATION DES DROITS AMO</t>
  </si>
  <si>
    <t>Prise en charge établie le</t>
  </si>
  <si>
    <t xml:space="preserve">59-64 </t>
  </si>
  <si>
    <t xml:space="preserve">F </t>
  </si>
  <si>
    <t>Obligatoire si l’établissement a indiqué qu’il possède une prise en charge. Indiquer la date de prise en charge par l’organisme d’Assurance maladie.ATTENTION format différent de B2 JJMMAAAA</t>
  </si>
  <si>
    <t>Attestation de droits, carte Vitale ou prise en charge valable à compter du.</t>
  </si>
  <si>
    <t xml:space="preserve">65-70 </t>
  </si>
  <si>
    <t>Obligatoire si l’établissement a indiqué que l’assuré a présenté une attestation de droits, une carte Vitale ou une prise en charge. Indiquer la date de validité de cette attestation. ATTENTION format différent de B2 JJMMAAAA</t>
  </si>
  <si>
    <t xml:space="preserve">Délivrée par </t>
  </si>
  <si>
    <t xml:space="preserve">71-73 </t>
  </si>
  <si>
    <t>Code de l’organisme ayant délivré l’attestation de droits, la carte Vitale ou la prise en charge. (A prendre sur l’attestation de droits, la carte Vitale ou la prise en charge)</t>
  </si>
  <si>
    <t>Régime de prestation de l’assuré</t>
  </si>
  <si>
    <t xml:space="preserve">74-76 </t>
  </si>
  <si>
    <t>A reprendre sur la prise en charge ou laisser à 000. Cette information est obligatoire, en cas de présence de types 2B/2C, pour les bénéficiaires relevant de la subsistance « F212 », au sens du décret du 22.12.1967 (ex : bénéficiaires hospitalisés MECS, …)</t>
  </si>
  <si>
    <t>Top éclatement des flux par l’établissement</t>
  </si>
  <si>
    <t xml:space="preserve"> Valeur « F » : éclatement du flux à la source par l’établissement. La part AMC est transmise sur une facture distincte (hors CMU uniquement). A blanc : Pas d’éclatement à la source.</t>
  </si>
  <si>
    <t xml:space="preserve">Date d’entrée </t>
  </si>
  <si>
    <t xml:space="preserve">103-108 </t>
  </si>
  <si>
    <t>Date d’entrée de l’hospitalisé dans l’établissement qui présente la facture (ou date de début de facturation). ATTENTION format différent de B2 JJMMAAAA</t>
  </si>
  <si>
    <t xml:space="preserve">Date de sortie </t>
  </si>
  <si>
    <t xml:space="preserve">109-114 </t>
  </si>
  <si>
    <t>Indiquer la date de sortie réelle si tel est le cas, ou la date limite de facturation s’il s’agit d’une facturation partielle. ATTENTION format différent de B2 JJMMAAAA</t>
  </si>
  <si>
    <t>Montant total du séjour facturé au patient</t>
  </si>
  <si>
    <t>Indicateur Simphonie Montant facturé au titre de la part patient</t>
  </si>
  <si>
    <t>Rejet AMO</t>
  </si>
  <si>
    <t>Indicateur Simphonie Nombre de fois où FT AMO a été rejetée (0 à 9)</t>
  </si>
  <si>
    <t>Date de facturation AMO</t>
  </si>
  <si>
    <t>Indicateur Simphonie Date de l’envoi de la FT AMO</t>
  </si>
  <si>
    <t>Date de facturation AMC</t>
  </si>
  <si>
    <t>Indicateur Simphonie Date de l’envoi de la FT AMC</t>
  </si>
  <si>
    <t>Date de facturation patient</t>
  </si>
  <si>
    <t>Indicateur Simphonie Date de l’envoi de la FT patient</t>
  </si>
  <si>
    <t>Date de paiement AMO</t>
  </si>
  <si>
    <t>Indicateur Simphonie Date à laquelle la FT AMO est payée en totalité (statut S16)</t>
  </si>
  <si>
    <t>Date de paiement AMC</t>
  </si>
  <si>
    <t>Indicateur Simphonie Date à laquelle la FT AMC est payée en totalité (statut S16)</t>
  </si>
  <si>
    <t>Date de paiement patient</t>
  </si>
  <si>
    <t>Indicateur Simphonie Date à laquelle la FT patient est payée en totalité (statut S16)</t>
  </si>
  <si>
    <t>Statut FT AMO</t>
  </si>
  <si>
    <t>0 : avant FT validée (statut S2 à S5)
1 : FT validée (statut S6 à S12, S14, S19, et S20)
2 : FT en NiNi (statut S13)
3 : FT payée (S15+S16+S17+S18)
9 :  sans objet</t>
  </si>
  <si>
    <t>Statut FT AMC</t>
  </si>
  <si>
    <t>Statut FT patient</t>
  </si>
  <si>
    <t>Pays d’assurance social</t>
  </si>
  <si>
    <t>Code INSEE à 5 chiffres, sans les deux premiers chiffres 99.
Ou bien code ISO ISO 3166-1 Alpha-3.
Pour renseigner cette donnée, il est important de prendre en compte le contexte assurantiel du patient (et non son pays d’origine).
Par exemple, un patient français peut avoir une assurance étrangère (anglaise, américaine ou autre…).
De même, un patient américain peut avoir une assurance anglaise ou autre. 
Le code pays à renseigner est bien le code pays de l’assurance du patient. » 
Mettre 000 ou laisser à blanc quand l’information n’est pas disponible.</t>
  </si>
  <si>
    <t>Numéro d’identification permanent du patient (IPP)</t>
  </si>
  <si>
    <t>Identifiant national de santé (INS)</t>
  </si>
  <si>
    <t>13+2</t>
  </si>
  <si>
    <t>ART51</t>
  </si>
  <si>
    <t>1 si séjour, actes ou consultations externes relevant d'expérimentatione article 51, vide sinon</t>
  </si>
  <si>
    <t>Complément au numéro de titre de recette</t>
  </si>
  <si>
    <t xml:space="preserve">42-47 </t>
  </si>
  <si>
    <t>Obligatoire pour le receveur des hôpitaux publics. Complément au numéro de titre de recette (position 30-38 du type 2 CP).</t>
  </si>
  <si>
    <t>Top déclaration de médecin traitant</t>
  </si>
  <si>
    <t xml:space="preserve">Valeur « O » si le bénéficiaire a déclaré un médecin traitant. Valeur « N » si le bénéficiaire n’a pas déclaré de médecin  traitant. A blanc dans les autres situations. </t>
  </si>
  <si>
    <t>Nom du médecin traitant ou du praticien qui a orienté le patient</t>
  </si>
  <si>
    <t xml:space="preserve">72-96 </t>
  </si>
  <si>
    <t xml:space="preserve">A renseigner pour les factures médecins : Obligatoire si le patient est orienté. </t>
  </si>
  <si>
    <t>Prénom du médecin traitant ou du praticien qui a orienté le patient</t>
  </si>
  <si>
    <t xml:space="preserve">97-111 </t>
  </si>
  <si>
    <t>Indicateur du parcours de soins</t>
  </si>
  <si>
    <t>Valeurs possibles dans le cadre du parcours de soins : Cf. annexe 25.</t>
  </si>
  <si>
    <t>CMUC en gestion unique</t>
  </si>
  <si>
    <t>0 : Non | 1 : Oui, laisser à vide si pas d'information ou non applicable</t>
  </si>
  <si>
    <t>Établissement de Transfert</t>
  </si>
  <si>
    <t>3S</t>
  </si>
  <si>
    <t>67-80</t>
  </si>
  <si>
    <t>N° FINESS de l’établissement destinataire en cas de transfert &gt; 48h</t>
  </si>
  <si>
    <t>Établissement de Retour</t>
  </si>
  <si>
    <t>N° FINESS de l’établissement de transfert lorsque le patient revient dans l'établissement d'origine</t>
  </si>
  <si>
    <t>Nombre de disciplines de prestations (N)</t>
  </si>
  <si>
    <r>
      <rPr>
        <b/>
        <strike/>
        <sz val="12"/>
        <color rgb="FFFF0000"/>
        <rFont val="Calibri Light"/>
        <family val="2"/>
      </rPr>
      <t>doit être &gt;=1</t>
    </r>
    <r>
      <rPr>
        <b/>
        <sz val="12"/>
        <color rgb="FFFF0000"/>
        <rFont val="Calibri Light"/>
        <family val="2"/>
      </rPr>
      <t xml:space="preserve"> peut être =0 </t>
    </r>
  </si>
  <si>
    <t>DMT n°1: Discipline de prestations (ex DMT)</t>
  </si>
  <si>
    <t>41-43</t>
  </si>
  <si>
    <t>Mode de traitement</t>
  </si>
  <si>
    <t>39-40</t>
  </si>
  <si>
    <t>Date de début de séjour</t>
  </si>
  <si>
    <t>44-49</t>
  </si>
  <si>
    <t>ATTENTION format différent de B2 JJMMAAAA</t>
  </si>
  <si>
    <t>Date de fin de séjour</t>
  </si>
  <si>
    <t>50-55</t>
  </si>
  <si>
    <t>Quantite</t>
  </si>
  <si>
    <t>61-63</t>
  </si>
  <si>
    <t>Durée de séjour en MCO et HAD / Nombre de jours de présence en SMR et PSY</t>
  </si>
  <si>
    <t>Prix unitaire</t>
  </si>
  <si>
    <t>76-82</t>
  </si>
  <si>
    <t>5+2</t>
  </si>
  <si>
    <t>Base de remboursement</t>
  </si>
  <si>
    <t>83-90</t>
  </si>
  <si>
    <t>6+2</t>
  </si>
  <si>
    <t>Taux applicable à la prestation</t>
  </si>
  <si>
    <t>91-93</t>
  </si>
  <si>
    <t>Montant remboursable par la caisse</t>
  </si>
  <si>
    <t>94-101</t>
  </si>
  <si>
    <t>…</t>
  </si>
  <si>
    <t>DMT n° N: Discipline de prestations (ex DMT)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</si>
</sst>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Aptos Narrow"/>
      <family val="2"/>
      <scheme val="minor"/>
    </font>
    <font>
      <b/>
      <sz val="14"/>
      <color rgb="FFFF0000"/>
      <name val="Arial"/>
      <family val="2"/>
    </font>
    <font>
      <b/>
      <sz val="14"/>
      <color rgb="FFFF0000"/>
      <name val="Arial"/>
    </font>
    <font>
      <b/>
      <sz val="14"/>
      <color theme="1"/>
      <name val="Arial"/>
      <family val="2"/>
    </font>
    <font>
      <sz val="12"/>
      <color theme="1"/>
      <name val="Calibri Light"/>
      <family val="2"/>
    </font>
    <font>
      <sz val="12"/>
      <color rgb="FF000000"/>
      <name val="Calibri Light"/>
      <family val="2"/>
    </font>
    <font>
      <b/>
      <sz val="12"/>
      <color rgb="FFFF0000"/>
      <name val="Calibri Light"/>
      <family val="2"/>
    </font>
    <font>
      <sz val="11"/>
      <color rgb="FF242424"/>
      <name val="Aptos Narrow"/>
      <charset val="1"/>
    </font>
    <font>
      <b/>
      <strike/>
      <sz val="12"/>
      <color rgb="FFFF0000"/>
      <name val="Calibri Light"/>
      <family val="2"/>
    </font>
    <font>
      <sz val="12"/>
      <name val="Calibri Light"/>
      <family val="2"/>
    </font>
  </fonts>
  <fills count="5">
    <fill>
      <patternFill patternType="none"/>
    </fill>
    <fill>
      <patternFill patternType="gray125"/>
    </fill>
    <fill>
      <patternFill patternType="solid">
        <fgColor rgb="FFFFFF00"/>
        <bgColor indexed="64"/>
      </patternFill>
    </fill>
    <fill>
      <patternFill patternType="solid">
        <fgColor rgb="FFFFFF66"/>
        <bgColor indexed="64"/>
      </patternFill>
    </fill>
    <fill>
      <patternFill patternType="solid">
        <fgColor theme="0"/>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1">
    <xf numFmtId="0" fontId="0" fillId="0" borderId="0"/>
  </cellStyleXfs>
  <cellXfs count="17">
    <xf numFmtId="0" fontId="0" fillId="0" borderId="0" xfId="0"/>
    <xf numFmtId="0" fontId="1" fillId="2" borderId="0" xfId="0" applyFont="1" applyFill="1"/>
    <xf numFmtId="0" fontId="2" fillId="3" borderId="0" xfId="0" applyFont="1" applyFill="1"/>
    <xf numFmtId="0" fontId="3" fillId="0" borderId="0" xfId="0" applyFont="1" applyAlignment="1">
      <alignment vertical="top"/>
    </xf>
    <xf numFmtId="0" fontId="4" fillId="0" borderId="0" xfId="0" applyFont="1"/>
    <xf numFmtId="0" fontId="4" fillId="4" borderId="0" xfId="0" applyFont="1" applyFill="1"/>
    <xf numFmtId="0" fontId="4" fillId="4" borderId="0" xfId="0" applyFont="1" applyFill="1" applyAlignment="1">
      <alignment horizontal="center"/>
    </xf>
    <xf numFmtId="17" fontId="4" fillId="4" borderId="0" xfId="0" applyNumberFormat="1" applyFont="1" applyFill="1" applyAlignment="1">
      <alignment horizontal="center"/>
    </xf>
    <xf numFmtId="0" fontId="4" fillId="4" borderId="0" xfId="0" applyFont="1" applyFill="1" applyAlignment="1">
      <alignment horizontal="left" wrapText="1"/>
    </xf>
    <xf numFmtId="0" fontId="5" fillId="4" borderId="0" xfId="0" applyFont="1" applyFill="1" applyAlignment="1">
      <alignment horizontal="left" wrapText="1"/>
    </xf>
    <xf numFmtId="0" fontId="6" fillId="2" borderId="0" xfId="0" applyFont="1" applyFill="1" applyAlignment="1">
      <alignment horizontal="left" wrapText="1"/>
    </xf>
    <xf numFmtId="0" fontId="7" fillId="4" borderId="0" xfId="0" applyFont="1" applyFill="1"/>
    <xf numFmtId="0" fontId="6" fillId="2" borderId="0" xfId="0" applyFont="1" applyFill="1" applyAlignment="1">
      <alignment horizontal="center"/>
    </xf>
    <xf numFmtId="0" fontId="9" fillId="4" borderId="0" xfId="0" applyFont="1" applyFill="1" applyAlignment="1">
      <alignment horizontal="center"/>
    </xf>
    <xf numFmtId="0" fontId="9" fillId="4" borderId="0" xfId="0" applyFont="1" applyFill="1"/>
    <xf numFmtId="0" fontId="9" fillId="4" borderId="1" xfId="0" applyFont="1" applyFill="1" applyBorder="1" applyAlignment="1">
      <alignment horizontal="left" wrapText="1"/>
    </xf>
    <xf numFmtId="0" fontId="6" fillId="4" borderId="0" xfId="0" applyFont="1" applyFill="1" applyAlignment="1">
      <alignment horizontal="center"/>
    </xf>
  </cellXfs>
  <cellStyles count="1">
    <cellStyle name="Normal" xfId="0" builtinId="0"/>
  </cellStyles>
  <dxfs count="19">
    <dxf>
      <font>
        <strike val="0"/>
        <outline val="0"/>
        <shadow val="0"/>
        <u val="none"/>
        <vertAlign val="baseline"/>
        <sz val="12"/>
        <color theme="1"/>
        <name val="Calibri Light"/>
        <family val="2"/>
        <scheme val="none"/>
      </font>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sz val="12"/>
        <color theme="1"/>
        <name val="Calibri Light"/>
        <family val="2"/>
        <scheme val="none"/>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2"/>
        <color theme="1"/>
        <name val="Calibri Light"/>
        <family val="2"/>
        <scheme val="none"/>
      </font>
      <numFmt numFmtId="22" formatCode="mmm\-yy"/>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2"/>
        <color theme="1"/>
        <name val="Calibri Light"/>
        <family val="2"/>
        <scheme val="none"/>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2"/>
        <color theme="1"/>
        <name val="Calibri Light"/>
        <family val="2"/>
        <scheme val="none"/>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2"/>
        <color theme="1"/>
        <name val="Calibri Light"/>
        <family val="2"/>
        <scheme val="none"/>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2"/>
        <color theme="1"/>
        <name val="Calibri Light"/>
        <family val="2"/>
        <scheme val="none"/>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2"/>
        <color theme="1"/>
        <name val="Calibri Light"/>
        <family val="2"/>
        <scheme val="none"/>
      </font>
      <fill>
        <patternFill patternType="solid">
          <fgColor indexed="64"/>
          <bgColor theme="0"/>
        </patternFill>
      </fill>
    </dxf>
    <dxf>
      <font>
        <strike val="0"/>
        <outline val="0"/>
        <shadow val="0"/>
        <u val="none"/>
        <vertAlign val="baseline"/>
        <sz val="12"/>
        <color theme="1"/>
        <name val="Calibri Light"/>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Light"/>
        <family val="2"/>
        <scheme val="none"/>
      </font>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vertical style="thin">
          <color theme="4"/>
        </vertical>
        <horizontal style="thin">
          <color theme="4"/>
        </horizontal>
      </border>
    </dxf>
  </dxfs>
  <tableStyles count="1" defaultTableStyle="TableStyleMedium2" defaultPivotStyle="PivotStyleLight16">
    <tableStyle name="TableStyleLight9 2" pivot="0" count="9" xr9:uid="{C391D5E6-4DFD-4DBF-9F31-04B8AF199EE2}">
      <tableStyleElement type="wholeTable" dxfId="18"/>
      <tableStyleElement type="headerRow" dxfId="17"/>
      <tableStyleElement type="totalRow" dxfId="16"/>
      <tableStyleElement type="firstColumn" dxfId="15"/>
      <tableStyleElement type="lastColumn" dxfId="14"/>
      <tableStyleElement type="firstRowStripe" dxfId="13"/>
      <tableStyleElement type="secondRowStripe" dxfId="12"/>
      <tableStyleElement type="firstColumnStripe" dxfId="11"/>
      <tableStyleElement type="second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6A393B-F3AB-4CDC-B267-B641579D8972}" name="Tableau1" displayName="Tableau1" ref="A3:H95" totalsRowShown="0" headerRowDxfId="9" dataDxfId="8">
  <autoFilter ref="A3:H95" xr:uid="{7F6A393B-F3AB-4CDC-B267-B641579D8972}"/>
  <tableColumns count="8">
    <tableColumn id="1" xr3:uid="{7BF25AD1-1597-4024-9D23-BAC06A0A9D0F}" name="Nom" dataDxfId="7"/>
    <tableColumn id="2" xr3:uid="{78A60F25-E399-4BF2-B6A4-FFDF95899F97}" name="Taille" dataDxfId="6"/>
    <tableColumn id="3" xr3:uid="{F7EDB86D-8751-448E-BF3D-6AEB8E6C05F0}" name="Début" dataDxfId="5"/>
    <tableColumn id="4" xr3:uid="{3E1950CB-DD7A-40E8-B544-B90F3509B36E}" name="Fin" dataDxfId="4"/>
    <tableColumn id="5" xr3:uid="{FDC7A97C-E66C-414D-B082-09F2651C5007}" name="Type de la norme (B2 *)" dataDxfId="3"/>
    <tableColumn id="6" xr3:uid="{605AD357-CDDD-4337-889A-F6AE3CD8A934}" name="Position dans la norme" dataDxfId="2"/>
    <tableColumn id="7" xr3:uid="{199A3BD5-0E24-486A-8484-42049B7356AC}" name="Obligatoire" dataDxfId="1"/>
    <tableColumn id="8" xr3:uid="{8A11861C-226E-4C27-A25A-FBAA303CA57F}" name="Consignes" dataDxfId="0"/>
  </tableColumns>
  <tableStyleInfo name="TableStyleLight9 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602C-FC54-4A16-8757-36FE77C0C83E}">
  <dimension ref="A1:H95"/>
  <sheetViews>
    <sheetView tabSelected="1" workbookViewId="0">
      <selection activeCell="A11" sqref="A11"/>
    </sheetView>
  </sheetViews>
  <sheetFormatPr baseColWidth="10" defaultColWidth="11.44140625" defaultRowHeight="14.4" x14ac:dyDescent="0.3"/>
  <cols>
    <col min="1" max="1" width="57.6640625" bestFit="1" customWidth="1"/>
    <col min="5" max="5" width="15.88671875" customWidth="1"/>
    <col min="6" max="6" width="23.33203125" customWidth="1"/>
    <col min="7" max="7" width="13.109375" customWidth="1"/>
    <col min="8" max="8" width="99.5546875" customWidth="1"/>
  </cols>
  <sheetData>
    <row r="1" spans="1:8" ht="17.399999999999999" x14ac:dyDescent="0.3">
      <c r="A1" s="1" t="s">
        <v>0</v>
      </c>
      <c r="H1" s="2" t="s">
        <v>1</v>
      </c>
    </row>
    <row r="2" spans="1:8" ht="17.399999999999999" x14ac:dyDescent="0.3">
      <c r="A2" s="3" t="s">
        <v>2</v>
      </c>
    </row>
    <row r="3" spans="1:8" ht="28.5" customHeight="1" x14ac:dyDescent="0.3">
      <c r="A3" s="4" t="s">
        <v>3</v>
      </c>
      <c r="B3" s="4" t="s">
        <v>4</v>
      </c>
      <c r="C3" s="4" t="s">
        <v>5</v>
      </c>
      <c r="D3" s="4" t="s">
        <v>6</v>
      </c>
      <c r="E3" s="4" t="s">
        <v>7</v>
      </c>
      <c r="F3" s="4" t="s">
        <v>8</v>
      </c>
      <c r="G3" s="4" t="s">
        <v>9</v>
      </c>
      <c r="H3" s="4" t="s">
        <v>10</v>
      </c>
    </row>
    <row r="4" spans="1:8" ht="15.6" x14ac:dyDescent="0.3">
      <c r="A4" s="5" t="s">
        <v>11</v>
      </c>
      <c r="B4" s="6">
        <v>13</v>
      </c>
      <c r="C4" s="6">
        <v>1</v>
      </c>
      <c r="D4" s="6">
        <f>Tableau1[[#This Row],[Début]]+Tableau1[[#This Row],[Taille]]-1</f>
        <v>13</v>
      </c>
      <c r="E4" s="6">
        <v>2</v>
      </c>
      <c r="F4" s="7">
        <v>45627</v>
      </c>
      <c r="G4" s="6" t="s">
        <v>12</v>
      </c>
      <c r="H4" s="8" t="s">
        <v>13</v>
      </c>
    </row>
    <row r="5" spans="1:8" ht="31.2" x14ac:dyDescent="0.3">
      <c r="A5" s="5" t="s">
        <v>14</v>
      </c>
      <c r="B5" s="6">
        <v>2</v>
      </c>
      <c r="C5" s="6">
        <f>D4+1</f>
        <v>14</v>
      </c>
      <c r="D5" s="6">
        <f>Tableau1[[#This Row],[Début]]+Tableau1[[#This Row],[Taille]]-1</f>
        <v>15</v>
      </c>
      <c r="E5" s="6">
        <v>2</v>
      </c>
      <c r="F5" s="6" t="s">
        <v>15</v>
      </c>
      <c r="G5" s="6" t="s">
        <v>12</v>
      </c>
      <c r="H5" s="8" t="s">
        <v>16</v>
      </c>
    </row>
    <row r="6" spans="1:8" ht="15.6" x14ac:dyDescent="0.3">
      <c r="A6" s="5" t="s">
        <v>17</v>
      </c>
      <c r="B6" s="6">
        <v>2</v>
      </c>
      <c r="C6" s="6">
        <f t="shared" ref="C6:C71" si="0">D5+1</f>
        <v>16</v>
      </c>
      <c r="D6" s="6">
        <f>Tableau1[[#This Row],[Début]]+Tableau1[[#This Row],[Taille]]-1</f>
        <v>17</v>
      </c>
      <c r="E6" s="6">
        <v>2</v>
      </c>
      <c r="F6" s="6" t="s">
        <v>18</v>
      </c>
      <c r="G6" s="6" t="s">
        <v>12</v>
      </c>
      <c r="H6" s="8" t="s">
        <v>19</v>
      </c>
    </row>
    <row r="7" spans="1:8" ht="15.6" x14ac:dyDescent="0.3">
      <c r="A7" s="5" t="s">
        <v>20</v>
      </c>
      <c r="B7" s="6">
        <v>2</v>
      </c>
      <c r="C7" s="6">
        <f t="shared" si="0"/>
        <v>18</v>
      </c>
      <c r="D7" s="6">
        <f>Tableau1[[#This Row],[Début]]+Tableau1[[#This Row],[Taille]]-1</f>
        <v>19</v>
      </c>
      <c r="E7" s="6"/>
      <c r="F7" s="6"/>
      <c r="G7" s="6" t="s">
        <v>12</v>
      </c>
      <c r="H7" s="8" t="s">
        <v>21</v>
      </c>
    </row>
    <row r="8" spans="1:8" ht="15.6" x14ac:dyDescent="0.3">
      <c r="A8" s="5" t="s">
        <v>22</v>
      </c>
      <c r="B8" s="6">
        <v>8</v>
      </c>
      <c r="C8" s="6">
        <f t="shared" si="0"/>
        <v>20</v>
      </c>
      <c r="D8" s="6">
        <f>Tableau1[[#This Row],[Début]]+Tableau1[[#This Row],[Taille]]-1</f>
        <v>27</v>
      </c>
      <c r="E8" s="6">
        <v>2</v>
      </c>
      <c r="F8" s="6" t="s">
        <v>23</v>
      </c>
      <c r="G8" s="6" t="s">
        <v>12</v>
      </c>
      <c r="H8" s="8" t="s">
        <v>24</v>
      </c>
    </row>
    <row r="9" spans="1:8" ht="15.6" x14ac:dyDescent="0.3">
      <c r="A9" s="5" t="s">
        <v>25</v>
      </c>
      <c r="B9" s="6">
        <v>1</v>
      </c>
      <c r="C9" s="6">
        <f t="shared" si="0"/>
        <v>28</v>
      </c>
      <c r="D9" s="6">
        <f>Tableau1[[#This Row],[Début]]+Tableau1[[#This Row],[Taille]]-1</f>
        <v>28</v>
      </c>
      <c r="E9" s="6"/>
      <c r="F9" s="6"/>
      <c r="G9" s="6" t="s">
        <v>12</v>
      </c>
      <c r="H9" s="9" t="s">
        <v>26</v>
      </c>
    </row>
    <row r="10" spans="1:8" ht="15.6" x14ac:dyDescent="0.3">
      <c r="A10" s="5" t="s">
        <v>27</v>
      </c>
      <c r="B10" s="6">
        <v>20</v>
      </c>
      <c r="C10" s="6">
        <f t="shared" si="0"/>
        <v>29</v>
      </c>
      <c r="D10" s="6">
        <f>Tableau1[[#This Row],[Début]]+Tableau1[[#This Row],[Taille]]-1</f>
        <v>48</v>
      </c>
      <c r="E10" s="6"/>
      <c r="F10" s="6"/>
      <c r="G10" s="6" t="s">
        <v>12</v>
      </c>
      <c r="H10" s="8"/>
    </row>
    <row r="11" spans="1:8" ht="15.6" x14ac:dyDescent="0.3">
      <c r="A11" s="5" t="s">
        <v>28</v>
      </c>
      <c r="B11" s="6">
        <v>4</v>
      </c>
      <c r="C11" s="6">
        <f t="shared" si="0"/>
        <v>49</v>
      </c>
      <c r="D11" s="6">
        <f>Tableau1[[#This Row],[Début]]+Tableau1[[#This Row],[Taille]]-1</f>
        <v>52</v>
      </c>
      <c r="E11" s="6"/>
      <c r="F11" s="6"/>
      <c r="G11" s="6" t="s">
        <v>12</v>
      </c>
      <c r="H11" s="10" t="s">
        <v>29</v>
      </c>
    </row>
    <row r="12" spans="1:8" ht="15.6" x14ac:dyDescent="0.3">
      <c r="A12" s="5" t="s">
        <v>30</v>
      </c>
      <c r="B12" s="6">
        <v>9</v>
      </c>
      <c r="C12" s="6">
        <f t="shared" si="0"/>
        <v>53</v>
      </c>
      <c r="D12" s="6">
        <f>Tableau1[[#This Row],[Début]]+Tableau1[[#This Row],[Taille]]-1</f>
        <v>61</v>
      </c>
      <c r="E12" s="6"/>
      <c r="F12" s="6"/>
      <c r="G12" s="6" t="s">
        <v>12</v>
      </c>
      <c r="H12" s="8"/>
    </row>
    <row r="13" spans="1:8" ht="31.2" x14ac:dyDescent="0.3">
      <c r="A13" s="5" t="s">
        <v>31</v>
      </c>
      <c r="B13" s="6">
        <v>13</v>
      </c>
      <c r="C13" s="6">
        <f t="shared" si="0"/>
        <v>62</v>
      </c>
      <c r="D13" s="6">
        <f>Tableau1[[#This Row],[Début]]+Tableau1[[#This Row],[Taille]]-1</f>
        <v>74</v>
      </c>
      <c r="E13" s="6" t="s">
        <v>32</v>
      </c>
      <c r="F13" s="6" t="s">
        <v>33</v>
      </c>
      <c r="G13" s="6" t="s">
        <v>34</v>
      </c>
      <c r="H13" s="8" t="s">
        <v>35</v>
      </c>
    </row>
    <row r="14" spans="1:8" ht="31.2" x14ac:dyDescent="0.3">
      <c r="A14" s="5" t="s">
        <v>36</v>
      </c>
      <c r="B14" s="6">
        <v>2</v>
      </c>
      <c r="C14" s="6">
        <f t="shared" si="0"/>
        <v>75</v>
      </c>
      <c r="D14" s="6">
        <f>Tableau1[[#This Row],[Début]]+Tableau1[[#This Row],[Taille]]-1</f>
        <v>76</v>
      </c>
      <c r="E14" s="6" t="s">
        <v>32</v>
      </c>
      <c r="F14" s="6" t="s">
        <v>37</v>
      </c>
      <c r="G14" s="6" t="s">
        <v>34</v>
      </c>
      <c r="H14" s="8" t="s">
        <v>38</v>
      </c>
    </row>
    <row r="15" spans="1:8" ht="62.4" x14ac:dyDescent="0.3">
      <c r="A15" s="5" t="s">
        <v>39</v>
      </c>
      <c r="B15" s="6">
        <v>1</v>
      </c>
      <c r="C15" s="6">
        <f t="shared" si="0"/>
        <v>77</v>
      </c>
      <c r="D15" s="6">
        <f>Tableau1[[#This Row],[Début]]+Tableau1[[#This Row],[Taille]]-1</f>
        <v>77</v>
      </c>
      <c r="E15" s="6">
        <v>2</v>
      </c>
      <c r="F15" s="6">
        <v>79</v>
      </c>
      <c r="G15" s="6" t="s">
        <v>12</v>
      </c>
      <c r="H15" s="8" t="s">
        <v>40</v>
      </c>
    </row>
    <row r="16" spans="1:8" ht="15.6" x14ac:dyDescent="0.3">
      <c r="A16" s="5" t="s">
        <v>41</v>
      </c>
      <c r="B16" s="6">
        <v>1</v>
      </c>
      <c r="C16" s="6">
        <f t="shared" si="0"/>
        <v>78</v>
      </c>
      <c r="D16" s="6">
        <f>Tableau1[[#This Row],[Début]]+Tableau1[[#This Row],[Taille]]-1</f>
        <v>78</v>
      </c>
      <c r="E16" s="6">
        <v>3</v>
      </c>
      <c r="F16" s="6">
        <v>70</v>
      </c>
      <c r="G16" s="6" t="s">
        <v>34</v>
      </c>
      <c r="H16" s="8"/>
    </row>
    <row r="17" spans="1:8" ht="31.2" x14ac:dyDescent="0.3">
      <c r="A17" s="5" t="s">
        <v>42</v>
      </c>
      <c r="B17" s="6">
        <v>2</v>
      </c>
      <c r="C17" s="6">
        <f t="shared" si="0"/>
        <v>79</v>
      </c>
      <c r="D17" s="6">
        <f>Tableau1[[#This Row],[Début]]+Tableau1[[#This Row],[Taille]]-1</f>
        <v>80</v>
      </c>
      <c r="E17" s="6">
        <v>2</v>
      </c>
      <c r="F17" s="6" t="s">
        <v>43</v>
      </c>
      <c r="G17" s="6" t="s">
        <v>12</v>
      </c>
      <c r="H17" s="8" t="s">
        <v>44</v>
      </c>
    </row>
    <row r="18" spans="1:8" ht="78" x14ac:dyDescent="0.3">
      <c r="A18" s="5" t="s">
        <v>45</v>
      </c>
      <c r="B18" s="6">
        <v>2</v>
      </c>
      <c r="C18" s="6">
        <f t="shared" si="0"/>
        <v>81</v>
      </c>
      <c r="D18" s="6">
        <f>Tableau1[[#This Row],[Début]]+Tableau1[[#This Row],[Taille]]-1</f>
        <v>82</v>
      </c>
      <c r="E18" s="6">
        <v>2</v>
      </c>
      <c r="F18" s="6" t="s">
        <v>46</v>
      </c>
      <c r="G18" s="6" t="s">
        <v>34</v>
      </c>
      <c r="H18" s="8" t="s">
        <v>47</v>
      </c>
    </row>
    <row r="19" spans="1:8" ht="15.6" x14ac:dyDescent="0.3">
      <c r="A19" s="5" t="s">
        <v>48</v>
      </c>
      <c r="B19" s="6">
        <v>1</v>
      </c>
      <c r="C19" s="6">
        <f t="shared" si="0"/>
        <v>83</v>
      </c>
      <c r="D19" s="6">
        <f>Tableau1[[#This Row],[Début]]+Tableau1[[#This Row],[Taille]]-1</f>
        <v>83</v>
      </c>
      <c r="E19" s="6"/>
      <c r="F19" s="6"/>
      <c r="G19" s="6" t="s">
        <v>12</v>
      </c>
      <c r="H19" s="8"/>
    </row>
    <row r="20" spans="1:8" ht="15.6" x14ac:dyDescent="0.3">
      <c r="A20" s="5" t="s">
        <v>49</v>
      </c>
      <c r="B20" s="6">
        <v>1</v>
      </c>
      <c r="C20" s="6">
        <f t="shared" si="0"/>
        <v>84</v>
      </c>
      <c r="D20" s="6">
        <f>Tableau1[[#This Row],[Début]]+Tableau1[[#This Row],[Taille]]-1</f>
        <v>84</v>
      </c>
      <c r="E20" s="6"/>
      <c r="F20" s="6"/>
      <c r="G20" s="6" t="s">
        <v>50</v>
      </c>
      <c r="H20" s="8" t="s">
        <v>51</v>
      </c>
    </row>
    <row r="21" spans="1:8" ht="15.6" x14ac:dyDescent="0.3">
      <c r="A21" s="5" t="s">
        <v>52</v>
      </c>
      <c r="B21" s="6">
        <v>1</v>
      </c>
      <c r="C21" s="6">
        <f t="shared" si="0"/>
        <v>85</v>
      </c>
      <c r="D21" s="6">
        <f>Tableau1[[#This Row],[Début]]+Tableau1[[#This Row],[Taille]]-1</f>
        <v>85</v>
      </c>
      <c r="E21" s="6"/>
      <c r="F21" s="6"/>
      <c r="G21" s="6" t="s">
        <v>12</v>
      </c>
      <c r="H21" s="8" t="s">
        <v>53</v>
      </c>
    </row>
    <row r="22" spans="1:8" ht="15.6" x14ac:dyDescent="0.3">
      <c r="A22" s="5" t="s">
        <v>54</v>
      </c>
      <c r="B22" s="6">
        <v>4</v>
      </c>
      <c r="C22" s="6">
        <f t="shared" si="0"/>
        <v>86</v>
      </c>
      <c r="D22" s="6">
        <f>Tableau1[[#This Row],[Début]]+Tableau1[[#This Row],[Taille]]-1</f>
        <v>89</v>
      </c>
      <c r="E22" s="6"/>
      <c r="F22" s="6"/>
      <c r="G22" s="6" t="s">
        <v>12</v>
      </c>
      <c r="H22" s="8"/>
    </row>
    <row r="23" spans="1:8" ht="15.6" x14ac:dyDescent="0.3">
      <c r="A23" s="5" t="s">
        <v>55</v>
      </c>
      <c r="B23" s="6">
        <v>10</v>
      </c>
      <c r="C23" s="6">
        <f t="shared" si="0"/>
        <v>90</v>
      </c>
      <c r="D23" s="6">
        <f>Tableau1[[#This Row],[Début]]+Tableau1[[#This Row],[Taille]]-1</f>
        <v>99</v>
      </c>
      <c r="E23" s="6"/>
      <c r="F23" s="6"/>
      <c r="G23" s="6" t="s">
        <v>12</v>
      </c>
      <c r="H23" s="8"/>
    </row>
    <row r="24" spans="1:8" ht="15.6" x14ac:dyDescent="0.3">
      <c r="A24" s="5" t="s">
        <v>56</v>
      </c>
      <c r="B24" s="6">
        <v>10</v>
      </c>
      <c r="C24" s="6">
        <f t="shared" si="0"/>
        <v>100</v>
      </c>
      <c r="D24" s="6">
        <f>Tableau1[[#This Row],[Début]]+Tableau1[[#This Row],[Taille]]-1</f>
        <v>109</v>
      </c>
      <c r="E24" s="6"/>
      <c r="F24" s="6"/>
      <c r="G24" s="6" t="s">
        <v>12</v>
      </c>
      <c r="H24" s="8"/>
    </row>
    <row r="25" spans="1:8" ht="15.6" x14ac:dyDescent="0.3">
      <c r="A25" s="5" t="s">
        <v>57</v>
      </c>
      <c r="B25" s="6">
        <v>10</v>
      </c>
      <c r="C25" s="6">
        <f t="shared" si="0"/>
        <v>110</v>
      </c>
      <c r="D25" s="6">
        <f>Tableau1[[#This Row],[Début]]+Tableau1[[#This Row],[Taille]]-1</f>
        <v>119</v>
      </c>
      <c r="E25" s="6"/>
      <c r="F25" s="6"/>
      <c r="G25" s="6" t="s">
        <v>12</v>
      </c>
      <c r="H25" s="8"/>
    </row>
    <row r="26" spans="1:8" ht="15.6" x14ac:dyDescent="0.3">
      <c r="A26" s="5" t="s">
        <v>58</v>
      </c>
      <c r="B26" s="6">
        <v>4</v>
      </c>
      <c r="C26" s="6">
        <f t="shared" si="0"/>
        <v>120</v>
      </c>
      <c r="D26" s="6">
        <f>Tableau1[[#This Row],[Début]]+Tableau1[[#This Row],[Taille]]-1</f>
        <v>123</v>
      </c>
      <c r="E26" s="6"/>
      <c r="F26" s="6"/>
      <c r="G26" s="6" t="s">
        <v>12</v>
      </c>
      <c r="H26" s="8"/>
    </row>
    <row r="27" spans="1:8" ht="15.6" x14ac:dyDescent="0.3">
      <c r="A27" s="5" t="s">
        <v>59</v>
      </c>
      <c r="B27" s="6">
        <v>10</v>
      </c>
      <c r="C27" s="6">
        <f t="shared" si="0"/>
        <v>124</v>
      </c>
      <c r="D27" s="6">
        <f>Tableau1[[#This Row],[Début]]+Tableau1[[#This Row],[Taille]]-1</f>
        <v>133</v>
      </c>
      <c r="E27" s="6"/>
      <c r="F27" s="6"/>
      <c r="G27" s="6" t="s">
        <v>12</v>
      </c>
      <c r="H27" s="8"/>
    </row>
    <row r="28" spans="1:8" ht="15.6" x14ac:dyDescent="0.3">
      <c r="A28" s="5" t="s">
        <v>60</v>
      </c>
      <c r="B28" s="6">
        <v>5</v>
      </c>
      <c r="C28" s="6">
        <f t="shared" si="0"/>
        <v>134</v>
      </c>
      <c r="D28" s="6">
        <f>Tableau1[[#This Row],[Début]]+Tableau1[[#This Row],[Taille]]-1</f>
        <v>138</v>
      </c>
      <c r="E28" s="6"/>
      <c r="F28" s="6"/>
      <c r="G28" s="6" t="s">
        <v>12</v>
      </c>
      <c r="H28" s="8"/>
    </row>
    <row r="29" spans="1:8" ht="15.6" x14ac:dyDescent="0.3">
      <c r="A29" s="5" t="s">
        <v>61</v>
      </c>
      <c r="B29" s="6">
        <v>1</v>
      </c>
      <c r="C29" s="6">
        <f t="shared" si="0"/>
        <v>139</v>
      </c>
      <c r="D29" s="6">
        <f>Tableau1[[#This Row],[Début]]+Tableau1[[#This Row],[Taille]]-1</f>
        <v>139</v>
      </c>
      <c r="E29" s="6"/>
      <c r="F29" s="6"/>
      <c r="G29" s="6" t="s">
        <v>34</v>
      </c>
      <c r="H29" s="8" t="s">
        <v>62</v>
      </c>
    </row>
    <row r="30" spans="1:8" ht="15.6" x14ac:dyDescent="0.3">
      <c r="A30" s="5" t="s">
        <v>63</v>
      </c>
      <c r="B30" s="6">
        <v>20</v>
      </c>
      <c r="C30" s="6">
        <f t="shared" si="0"/>
        <v>140</v>
      </c>
      <c r="D30" s="6">
        <f>Tableau1[[#This Row],[Début]]+Tableau1[[#This Row],[Taille]]-1</f>
        <v>159</v>
      </c>
      <c r="E30" s="6"/>
      <c r="F30" s="6"/>
      <c r="G30" s="6" t="s">
        <v>34</v>
      </c>
      <c r="H30" s="8" t="s">
        <v>64</v>
      </c>
    </row>
    <row r="31" spans="1:8" ht="15.6" x14ac:dyDescent="0.3">
      <c r="A31" s="5" t="s">
        <v>65</v>
      </c>
      <c r="B31" s="6">
        <v>1</v>
      </c>
      <c r="C31" s="6">
        <f t="shared" si="0"/>
        <v>160</v>
      </c>
      <c r="D31" s="6">
        <f>Tableau1[[#This Row],[Début]]+Tableau1[[#This Row],[Taille]]-1</f>
        <v>160</v>
      </c>
      <c r="E31" s="6"/>
      <c r="F31" s="6"/>
      <c r="G31" s="6" t="s">
        <v>34</v>
      </c>
      <c r="H31" s="8" t="s">
        <v>66</v>
      </c>
    </row>
    <row r="32" spans="1:8" ht="15.6" x14ac:dyDescent="0.3">
      <c r="A32" s="5" t="s">
        <v>67</v>
      </c>
      <c r="B32" s="6">
        <v>1</v>
      </c>
      <c r="C32" s="6">
        <f t="shared" si="0"/>
        <v>161</v>
      </c>
      <c r="D32" s="6">
        <f>Tableau1[[#This Row],[Début]]+Tableau1[[#This Row],[Taille]]-1</f>
        <v>161</v>
      </c>
      <c r="E32" s="6"/>
      <c r="F32" s="6"/>
      <c r="G32" s="6" t="s">
        <v>34</v>
      </c>
      <c r="H32" s="9" t="s">
        <v>68</v>
      </c>
    </row>
    <row r="33" spans="1:8" ht="31.2" x14ac:dyDescent="0.3">
      <c r="A33" s="5" t="s">
        <v>69</v>
      </c>
      <c r="B33" s="6">
        <v>8</v>
      </c>
      <c r="C33" s="6">
        <f t="shared" si="0"/>
        <v>162</v>
      </c>
      <c r="D33" s="6">
        <f>Tableau1[[#This Row],[Début]]+Tableau1[[#This Row],[Taille]]-1</f>
        <v>169</v>
      </c>
      <c r="E33" s="6">
        <v>2</v>
      </c>
      <c r="F33" s="6" t="s">
        <v>70</v>
      </c>
      <c r="G33" s="6" t="s">
        <v>12</v>
      </c>
      <c r="H33" s="8" t="s">
        <v>71</v>
      </c>
    </row>
    <row r="34" spans="1:8" ht="31.2" x14ac:dyDescent="0.3">
      <c r="A34" s="5" t="s">
        <v>72</v>
      </c>
      <c r="B34" s="6">
        <v>10</v>
      </c>
      <c r="C34" s="6">
        <f t="shared" si="0"/>
        <v>170</v>
      </c>
      <c r="D34" s="6">
        <f>Tableau1[[#This Row],[Début]]+Tableau1[[#This Row],[Taille]]-1</f>
        <v>179</v>
      </c>
      <c r="E34" s="6"/>
      <c r="F34" s="6"/>
      <c r="G34" s="6" t="s">
        <v>12</v>
      </c>
      <c r="H34" s="8" t="s">
        <v>73</v>
      </c>
    </row>
    <row r="35" spans="1:8" ht="15.6" x14ac:dyDescent="0.3">
      <c r="A35" s="5" t="s">
        <v>74</v>
      </c>
      <c r="B35" s="6">
        <v>1</v>
      </c>
      <c r="C35" s="6">
        <f t="shared" si="0"/>
        <v>180</v>
      </c>
      <c r="D35" s="6">
        <f>Tableau1[[#This Row],[Début]]+Tableau1[[#This Row],[Taille]]-1</f>
        <v>180</v>
      </c>
      <c r="E35" s="6">
        <v>3</v>
      </c>
      <c r="F35" s="6">
        <v>117</v>
      </c>
      <c r="G35" s="6" t="s">
        <v>34</v>
      </c>
      <c r="H35" s="8"/>
    </row>
    <row r="36" spans="1:8" ht="15.6" x14ac:dyDescent="0.3">
      <c r="A36" s="5" t="s">
        <v>75</v>
      </c>
      <c r="B36" s="6">
        <v>9</v>
      </c>
      <c r="C36" s="6">
        <f t="shared" si="0"/>
        <v>181</v>
      </c>
      <c r="D36" s="6">
        <f>Tableau1[[#This Row],[Début]]+Tableau1[[#This Row],[Taille]]-1</f>
        <v>189</v>
      </c>
      <c r="E36" s="6">
        <v>2</v>
      </c>
      <c r="F36" s="6" t="s">
        <v>76</v>
      </c>
      <c r="G36" s="6" t="s">
        <v>12</v>
      </c>
      <c r="H36" s="8" t="s">
        <v>77</v>
      </c>
    </row>
    <row r="37" spans="1:8" ht="15.6" x14ac:dyDescent="0.3">
      <c r="A37" s="5" t="s">
        <v>78</v>
      </c>
      <c r="B37" s="6">
        <v>1</v>
      </c>
      <c r="C37" s="6">
        <f t="shared" si="0"/>
        <v>190</v>
      </c>
      <c r="D37" s="6">
        <f>Tableau1[[#This Row],[Début]]+Tableau1[[#This Row],[Taille]]-1</f>
        <v>190</v>
      </c>
      <c r="E37" s="6">
        <v>2</v>
      </c>
      <c r="F37" s="6">
        <v>102</v>
      </c>
      <c r="G37" s="6" t="s">
        <v>34</v>
      </c>
      <c r="H37" s="8"/>
    </row>
    <row r="38" spans="1:8" ht="31.2" x14ac:dyDescent="0.3">
      <c r="A38" s="5" t="s">
        <v>79</v>
      </c>
      <c r="B38" s="6">
        <v>3</v>
      </c>
      <c r="C38" s="6">
        <f t="shared" si="0"/>
        <v>191</v>
      </c>
      <c r="D38" s="6">
        <f>Tableau1[[#This Row],[Début]]+Tableau1[[#This Row],[Taille]]-1</f>
        <v>193</v>
      </c>
      <c r="E38" s="6">
        <v>2</v>
      </c>
      <c r="F38" s="6" t="s">
        <v>80</v>
      </c>
      <c r="G38" s="6" t="s">
        <v>34</v>
      </c>
      <c r="H38" s="8" t="s">
        <v>81</v>
      </c>
    </row>
    <row r="39" spans="1:8" ht="15.6" x14ac:dyDescent="0.3">
      <c r="A39" s="5" t="s">
        <v>82</v>
      </c>
      <c r="B39" s="6">
        <v>3</v>
      </c>
      <c r="C39" s="6">
        <f t="shared" si="0"/>
        <v>194</v>
      </c>
      <c r="D39" s="6">
        <f>Tableau1[[#This Row],[Début]]+Tableau1[[#This Row],[Taille]]-1</f>
        <v>196</v>
      </c>
      <c r="E39" s="6">
        <v>2</v>
      </c>
      <c r="F39" s="6" t="s">
        <v>83</v>
      </c>
      <c r="G39" s="6" t="s">
        <v>12</v>
      </c>
      <c r="H39" s="8" t="s">
        <v>84</v>
      </c>
    </row>
    <row r="40" spans="1:8" ht="31.2" x14ac:dyDescent="0.3">
      <c r="A40" s="5" t="s">
        <v>85</v>
      </c>
      <c r="B40" s="6">
        <v>4</v>
      </c>
      <c r="C40" s="6">
        <f t="shared" si="0"/>
        <v>197</v>
      </c>
      <c r="D40" s="6">
        <f>Tableau1[[#This Row],[Début]]+Tableau1[[#This Row],[Taille]]-1</f>
        <v>200</v>
      </c>
      <c r="E40" s="6">
        <v>2</v>
      </c>
      <c r="F40" s="6" t="s">
        <v>86</v>
      </c>
      <c r="G40" s="6" t="s">
        <v>12</v>
      </c>
      <c r="H40" s="8" t="s">
        <v>87</v>
      </c>
    </row>
    <row r="41" spans="1:8" ht="15.6" x14ac:dyDescent="0.3">
      <c r="A41" s="5" t="s">
        <v>88</v>
      </c>
      <c r="B41" s="6">
        <v>30</v>
      </c>
      <c r="C41" s="6">
        <f t="shared" si="0"/>
        <v>201</v>
      </c>
      <c r="D41" s="6">
        <f>Tableau1[[#This Row],[Début]]+Tableau1[[#This Row],[Taille]]-1</f>
        <v>230</v>
      </c>
      <c r="E41" s="6"/>
      <c r="F41" s="6"/>
      <c r="G41" s="6" t="s">
        <v>34</v>
      </c>
      <c r="H41" s="8" t="s">
        <v>89</v>
      </c>
    </row>
    <row r="42" spans="1:8" ht="15.6" x14ac:dyDescent="0.3">
      <c r="A42" s="5" t="s">
        <v>90</v>
      </c>
      <c r="B42" s="6">
        <v>1</v>
      </c>
      <c r="C42" s="6">
        <f t="shared" si="0"/>
        <v>231</v>
      </c>
      <c r="D42" s="6">
        <f>Tableau1[[#This Row],[Début]]+Tableau1[[#This Row],[Taille]]-1</f>
        <v>231</v>
      </c>
      <c r="E42" s="6"/>
      <c r="F42" s="6"/>
      <c r="G42" s="6"/>
      <c r="H42" s="8" t="s">
        <v>66</v>
      </c>
    </row>
    <row r="43" spans="1:8" ht="78" x14ac:dyDescent="0.3">
      <c r="A43" s="5" t="s">
        <v>91</v>
      </c>
      <c r="B43" s="6">
        <v>9</v>
      </c>
      <c r="C43" s="6">
        <f t="shared" si="0"/>
        <v>232</v>
      </c>
      <c r="D43" s="6">
        <f>Tableau1[[#This Row],[Début]]+Tableau1[[#This Row],[Taille]]-1</f>
        <v>240</v>
      </c>
      <c r="E43" s="6">
        <v>2</v>
      </c>
      <c r="F43" s="6" t="s">
        <v>92</v>
      </c>
      <c r="G43" s="6" t="s">
        <v>34</v>
      </c>
      <c r="H43" s="8" t="s">
        <v>93</v>
      </c>
    </row>
    <row r="44" spans="1:8" ht="78" x14ac:dyDescent="0.3">
      <c r="A44" s="5" t="s">
        <v>94</v>
      </c>
      <c r="B44" s="6">
        <v>10</v>
      </c>
      <c r="C44" s="6">
        <f t="shared" si="0"/>
        <v>241</v>
      </c>
      <c r="D44" s="6">
        <f>Tableau1[[#This Row],[Début]]+Tableau1[[#This Row],[Taille]]-1</f>
        <v>250</v>
      </c>
      <c r="E44" s="6">
        <v>2</v>
      </c>
      <c r="F44" s="6" t="s">
        <v>95</v>
      </c>
      <c r="G44" s="6" t="s">
        <v>34</v>
      </c>
      <c r="H44" s="8" t="s">
        <v>93</v>
      </c>
    </row>
    <row r="45" spans="1:8" ht="15.6" x14ac:dyDescent="0.3">
      <c r="A45" s="5" t="s">
        <v>96</v>
      </c>
      <c r="B45" s="6">
        <v>1</v>
      </c>
      <c r="C45" s="6">
        <f t="shared" si="0"/>
        <v>251</v>
      </c>
      <c r="D45" s="6">
        <f>Tableau1[[#This Row],[Début]]+Tableau1[[#This Row],[Taille]]-1</f>
        <v>251</v>
      </c>
      <c r="E45" s="6">
        <v>2</v>
      </c>
      <c r="F45" s="6">
        <v>58</v>
      </c>
      <c r="G45" s="6" t="s">
        <v>12</v>
      </c>
      <c r="H45" s="8" t="s">
        <v>97</v>
      </c>
    </row>
    <row r="46" spans="1:8" ht="31.2" x14ac:dyDescent="0.3">
      <c r="A46" s="5" t="s">
        <v>98</v>
      </c>
      <c r="B46" s="6">
        <v>8</v>
      </c>
      <c r="C46" s="6">
        <f t="shared" si="0"/>
        <v>252</v>
      </c>
      <c r="D46" s="6">
        <f>Tableau1[[#This Row],[Début]]+Tableau1[[#This Row],[Taille]]-1</f>
        <v>259</v>
      </c>
      <c r="E46" s="6">
        <v>2</v>
      </c>
      <c r="F46" s="6" t="s">
        <v>99</v>
      </c>
      <c r="G46" s="6" t="s">
        <v>100</v>
      </c>
      <c r="H46" s="8" t="s">
        <v>101</v>
      </c>
    </row>
    <row r="47" spans="1:8" ht="46.8" x14ac:dyDescent="0.3">
      <c r="A47" s="5" t="s">
        <v>102</v>
      </c>
      <c r="B47" s="6">
        <v>8</v>
      </c>
      <c r="C47" s="6">
        <f t="shared" si="0"/>
        <v>260</v>
      </c>
      <c r="D47" s="6">
        <f>Tableau1[[#This Row],[Début]]+Tableau1[[#This Row],[Taille]]-1</f>
        <v>267</v>
      </c>
      <c r="E47" s="6">
        <v>2</v>
      </c>
      <c r="F47" s="6" t="s">
        <v>103</v>
      </c>
      <c r="G47" s="6" t="s">
        <v>100</v>
      </c>
      <c r="H47" s="8" t="s">
        <v>104</v>
      </c>
    </row>
    <row r="48" spans="1:8" ht="31.2" x14ac:dyDescent="0.3">
      <c r="A48" s="5" t="s">
        <v>105</v>
      </c>
      <c r="B48" s="6">
        <v>3</v>
      </c>
      <c r="C48" s="6">
        <f t="shared" si="0"/>
        <v>268</v>
      </c>
      <c r="D48" s="6">
        <f>Tableau1[[#This Row],[Début]]+Tableau1[[#This Row],[Taille]]-1</f>
        <v>270</v>
      </c>
      <c r="E48" s="6">
        <v>2</v>
      </c>
      <c r="F48" s="6" t="s">
        <v>106</v>
      </c>
      <c r="G48" s="6" t="s">
        <v>100</v>
      </c>
      <c r="H48" s="8" t="s">
        <v>107</v>
      </c>
    </row>
    <row r="49" spans="1:8" ht="46.8" x14ac:dyDescent="0.3">
      <c r="A49" s="5" t="s">
        <v>108</v>
      </c>
      <c r="B49" s="6">
        <v>3</v>
      </c>
      <c r="C49" s="6">
        <f t="shared" si="0"/>
        <v>271</v>
      </c>
      <c r="D49" s="6">
        <f>Tableau1[[#This Row],[Début]]+Tableau1[[#This Row],[Taille]]-1</f>
        <v>273</v>
      </c>
      <c r="E49" s="6">
        <v>2</v>
      </c>
      <c r="F49" s="6" t="s">
        <v>109</v>
      </c>
      <c r="G49" s="6" t="s">
        <v>100</v>
      </c>
      <c r="H49" s="8" t="s">
        <v>110</v>
      </c>
    </row>
    <row r="50" spans="1:8" ht="31.2" x14ac:dyDescent="0.3">
      <c r="A50" s="5" t="s">
        <v>111</v>
      </c>
      <c r="B50" s="6">
        <v>1</v>
      </c>
      <c r="C50" s="6">
        <f t="shared" si="0"/>
        <v>274</v>
      </c>
      <c r="D50" s="6">
        <f>Tableau1[[#This Row],[Début]]+Tableau1[[#This Row],[Taille]]-1</f>
        <v>274</v>
      </c>
      <c r="E50" s="6">
        <v>2</v>
      </c>
      <c r="F50" s="6">
        <v>95</v>
      </c>
      <c r="G50" s="6" t="s">
        <v>34</v>
      </c>
      <c r="H50" s="8" t="s">
        <v>112</v>
      </c>
    </row>
    <row r="51" spans="1:8" ht="31.2" x14ac:dyDescent="0.3">
      <c r="A51" s="5" t="s">
        <v>113</v>
      </c>
      <c r="B51" s="6">
        <v>8</v>
      </c>
      <c r="C51" s="6">
        <f t="shared" si="0"/>
        <v>275</v>
      </c>
      <c r="D51" s="6">
        <f>Tableau1[[#This Row],[Début]]+Tableau1[[#This Row],[Taille]]-1</f>
        <v>282</v>
      </c>
      <c r="E51" s="6">
        <v>2</v>
      </c>
      <c r="F51" s="6" t="s">
        <v>114</v>
      </c>
      <c r="G51" s="6" t="s">
        <v>12</v>
      </c>
      <c r="H51" s="8" t="s">
        <v>115</v>
      </c>
    </row>
    <row r="52" spans="1:8" ht="31.2" x14ac:dyDescent="0.3">
      <c r="A52" s="5" t="s">
        <v>116</v>
      </c>
      <c r="B52" s="6">
        <v>8</v>
      </c>
      <c r="C52" s="6">
        <f t="shared" si="0"/>
        <v>283</v>
      </c>
      <c r="D52" s="6">
        <f>Tableau1[[#This Row],[Début]]+Tableau1[[#This Row],[Taille]]-1</f>
        <v>290</v>
      </c>
      <c r="E52" s="6">
        <v>2</v>
      </c>
      <c r="F52" s="6" t="s">
        <v>117</v>
      </c>
      <c r="G52" s="6" t="s">
        <v>12</v>
      </c>
      <c r="H52" s="8" t="s">
        <v>118</v>
      </c>
    </row>
    <row r="53" spans="1:8" ht="15.6" x14ac:dyDescent="0.3">
      <c r="A53" s="5" t="s">
        <v>119</v>
      </c>
      <c r="B53" s="6">
        <v>8</v>
      </c>
      <c r="C53" s="6">
        <f t="shared" si="0"/>
        <v>291</v>
      </c>
      <c r="D53" s="6">
        <f>Tableau1[[#This Row],[Début]]+Tableau1[[#This Row],[Taille]]-1</f>
        <v>298</v>
      </c>
      <c r="E53" s="6"/>
      <c r="F53" s="6"/>
      <c r="G53" s="6" t="s">
        <v>50</v>
      </c>
      <c r="H53" s="8" t="s">
        <v>120</v>
      </c>
    </row>
    <row r="54" spans="1:8" ht="15.6" x14ac:dyDescent="0.3">
      <c r="A54" s="5" t="s">
        <v>121</v>
      </c>
      <c r="B54" s="6">
        <v>1</v>
      </c>
      <c r="C54" s="6">
        <f t="shared" si="0"/>
        <v>299</v>
      </c>
      <c r="D54" s="6">
        <f>Tableau1[[#This Row],[Début]]+Tableau1[[#This Row],[Taille]]-1</f>
        <v>299</v>
      </c>
      <c r="E54" s="6"/>
      <c r="F54" s="6"/>
      <c r="G54" s="6" t="s">
        <v>12</v>
      </c>
      <c r="H54" s="8" t="s">
        <v>122</v>
      </c>
    </row>
    <row r="55" spans="1:8" ht="15.6" x14ac:dyDescent="0.3">
      <c r="A55" s="5" t="s">
        <v>123</v>
      </c>
      <c r="B55" s="6">
        <v>8</v>
      </c>
      <c r="C55" s="6">
        <f t="shared" si="0"/>
        <v>300</v>
      </c>
      <c r="D55" s="6">
        <f>Tableau1[[#This Row],[Début]]+Tableau1[[#This Row],[Taille]]-1</f>
        <v>307</v>
      </c>
      <c r="E55" s="6"/>
      <c r="F55" s="6"/>
      <c r="G55" s="6" t="s">
        <v>50</v>
      </c>
      <c r="H55" s="8" t="s">
        <v>124</v>
      </c>
    </row>
    <row r="56" spans="1:8" ht="15.6" x14ac:dyDescent="0.3">
      <c r="A56" s="5" t="s">
        <v>125</v>
      </c>
      <c r="B56" s="6">
        <v>8</v>
      </c>
      <c r="C56" s="6">
        <f t="shared" si="0"/>
        <v>308</v>
      </c>
      <c r="D56" s="6">
        <f>Tableau1[[#This Row],[Début]]+Tableau1[[#This Row],[Taille]]-1</f>
        <v>315</v>
      </c>
      <c r="E56" s="6"/>
      <c r="F56" s="6"/>
      <c r="G56" s="6" t="s">
        <v>50</v>
      </c>
      <c r="H56" s="8" t="s">
        <v>126</v>
      </c>
    </row>
    <row r="57" spans="1:8" ht="15.6" x14ac:dyDescent="0.3">
      <c r="A57" s="5" t="s">
        <v>127</v>
      </c>
      <c r="B57" s="6">
        <v>8</v>
      </c>
      <c r="C57" s="6">
        <f t="shared" si="0"/>
        <v>316</v>
      </c>
      <c r="D57" s="6">
        <f>Tableau1[[#This Row],[Début]]+Tableau1[[#This Row],[Taille]]-1</f>
        <v>323</v>
      </c>
      <c r="E57" s="6"/>
      <c r="F57" s="6"/>
      <c r="G57" s="6" t="s">
        <v>50</v>
      </c>
      <c r="H57" s="8" t="s">
        <v>128</v>
      </c>
    </row>
    <row r="58" spans="1:8" ht="15.6" x14ac:dyDescent="0.3">
      <c r="A58" s="5" t="s">
        <v>129</v>
      </c>
      <c r="B58" s="6">
        <v>8</v>
      </c>
      <c r="C58" s="6">
        <f t="shared" si="0"/>
        <v>324</v>
      </c>
      <c r="D58" s="6">
        <f>Tableau1[[#This Row],[Début]]+Tableau1[[#This Row],[Taille]]-1</f>
        <v>331</v>
      </c>
      <c r="E58" s="6"/>
      <c r="F58" s="6"/>
      <c r="G58" s="6" t="s">
        <v>50</v>
      </c>
      <c r="H58" s="8" t="s">
        <v>130</v>
      </c>
    </row>
    <row r="59" spans="1:8" ht="15.6" x14ac:dyDescent="0.3">
      <c r="A59" s="5" t="s">
        <v>131</v>
      </c>
      <c r="B59" s="6">
        <v>8</v>
      </c>
      <c r="C59" s="6">
        <f t="shared" si="0"/>
        <v>332</v>
      </c>
      <c r="D59" s="6">
        <f>Tableau1[[#This Row],[Début]]+Tableau1[[#This Row],[Taille]]-1</f>
        <v>339</v>
      </c>
      <c r="E59" s="6"/>
      <c r="F59" s="6"/>
      <c r="G59" s="6" t="s">
        <v>50</v>
      </c>
      <c r="H59" s="8" t="s">
        <v>132</v>
      </c>
    </row>
    <row r="60" spans="1:8" ht="15.6" x14ac:dyDescent="0.3">
      <c r="A60" s="5" t="s">
        <v>133</v>
      </c>
      <c r="B60" s="6">
        <v>8</v>
      </c>
      <c r="C60" s="6">
        <f t="shared" si="0"/>
        <v>340</v>
      </c>
      <c r="D60" s="6">
        <f>Tableau1[[#This Row],[Début]]+Tableau1[[#This Row],[Taille]]-1</f>
        <v>347</v>
      </c>
      <c r="E60" s="6"/>
      <c r="F60" s="6"/>
      <c r="G60" s="6" t="s">
        <v>50</v>
      </c>
      <c r="H60" s="8" t="s">
        <v>134</v>
      </c>
    </row>
    <row r="61" spans="1:8" ht="78" x14ac:dyDescent="0.3">
      <c r="A61" s="5" t="s">
        <v>135</v>
      </c>
      <c r="B61" s="6">
        <v>1</v>
      </c>
      <c r="C61" s="6">
        <f t="shared" si="0"/>
        <v>348</v>
      </c>
      <c r="D61" s="6">
        <f>Tableau1[[#This Row],[Début]]+Tableau1[[#This Row],[Taille]]-1</f>
        <v>348</v>
      </c>
      <c r="E61" s="6"/>
      <c r="F61" s="6"/>
      <c r="G61" s="6" t="s">
        <v>12</v>
      </c>
      <c r="H61" s="8" t="s">
        <v>136</v>
      </c>
    </row>
    <row r="62" spans="1:8" ht="78" x14ac:dyDescent="0.3">
      <c r="A62" s="5" t="s">
        <v>137</v>
      </c>
      <c r="B62" s="6">
        <v>1</v>
      </c>
      <c r="C62" s="6">
        <f t="shared" si="0"/>
        <v>349</v>
      </c>
      <c r="D62" s="6">
        <f>Tableau1[[#This Row],[Début]]+Tableau1[[#This Row],[Taille]]-1</f>
        <v>349</v>
      </c>
      <c r="E62" s="6"/>
      <c r="F62" s="6"/>
      <c r="G62" s="6" t="s">
        <v>12</v>
      </c>
      <c r="H62" s="8" t="s">
        <v>136</v>
      </c>
    </row>
    <row r="63" spans="1:8" ht="78" x14ac:dyDescent="0.3">
      <c r="A63" s="5" t="s">
        <v>138</v>
      </c>
      <c r="B63" s="6">
        <v>1</v>
      </c>
      <c r="C63" s="6">
        <f t="shared" si="0"/>
        <v>350</v>
      </c>
      <c r="D63" s="6">
        <f>Tableau1[[#This Row],[Début]]+Tableau1[[#This Row],[Taille]]-1</f>
        <v>350</v>
      </c>
      <c r="E63" s="6"/>
      <c r="F63" s="6"/>
      <c r="G63" s="6" t="s">
        <v>12</v>
      </c>
      <c r="H63" s="8" t="s">
        <v>136</v>
      </c>
    </row>
    <row r="64" spans="1:8" ht="124.8" x14ac:dyDescent="0.3">
      <c r="A64" s="5" t="s">
        <v>139</v>
      </c>
      <c r="B64" s="6">
        <v>3</v>
      </c>
      <c r="C64" s="6">
        <f t="shared" si="0"/>
        <v>351</v>
      </c>
      <c r="D64" s="6">
        <f>Tableau1[[#This Row],[Début]]+Tableau1[[#This Row],[Taille]]-1</f>
        <v>353</v>
      </c>
      <c r="E64" s="6"/>
      <c r="F64" s="6"/>
      <c r="G64" s="6" t="s">
        <v>12</v>
      </c>
      <c r="H64" s="8" t="s">
        <v>140</v>
      </c>
    </row>
    <row r="65" spans="1:8" ht="15.6" x14ac:dyDescent="0.3">
      <c r="A65" s="5" t="s">
        <v>141</v>
      </c>
      <c r="B65" s="6">
        <v>20</v>
      </c>
      <c r="C65" s="6">
        <f t="shared" si="0"/>
        <v>354</v>
      </c>
      <c r="D65" s="6">
        <f>Tableau1[[#This Row],[Début]]+Tableau1[[#This Row],[Taille]]-1</f>
        <v>373</v>
      </c>
      <c r="E65" s="6"/>
      <c r="F65" s="6"/>
      <c r="G65" s="6" t="s">
        <v>12</v>
      </c>
      <c r="H65" s="8"/>
    </row>
    <row r="66" spans="1:8" ht="15.6" x14ac:dyDescent="0.3">
      <c r="A66" s="11" t="s">
        <v>142</v>
      </c>
      <c r="B66" s="6">
        <v>15</v>
      </c>
      <c r="C66" s="6">
        <f t="shared" si="0"/>
        <v>374</v>
      </c>
      <c r="D66" s="6">
        <f>Tableau1[[#This Row],[Début]]+Tableau1[[#This Row],[Taille]]-1</f>
        <v>388</v>
      </c>
      <c r="E66" s="6"/>
      <c r="F66" s="6"/>
      <c r="G66" s="6"/>
      <c r="H66" s="8" t="s">
        <v>143</v>
      </c>
    </row>
    <row r="67" spans="1:8" ht="15.6" x14ac:dyDescent="0.3">
      <c r="A67" s="5" t="s">
        <v>144</v>
      </c>
      <c r="B67" s="6">
        <v>1</v>
      </c>
      <c r="C67" s="6">
        <f t="shared" si="0"/>
        <v>389</v>
      </c>
      <c r="D67" s="6">
        <f>Tableau1[[#This Row],[Début]]+Tableau1[[#This Row],[Taille]]-1</f>
        <v>389</v>
      </c>
      <c r="E67" s="6"/>
      <c r="F67" s="6"/>
      <c r="G67" s="6" t="s">
        <v>34</v>
      </c>
      <c r="H67" s="8" t="s">
        <v>145</v>
      </c>
    </row>
    <row r="68" spans="1:8" ht="31.2" x14ac:dyDescent="0.3">
      <c r="A68" s="5" t="s">
        <v>146</v>
      </c>
      <c r="B68" s="6">
        <v>6</v>
      </c>
      <c r="C68" s="6">
        <f t="shared" si="0"/>
        <v>390</v>
      </c>
      <c r="D68" s="6">
        <f>Tableau1[[#This Row],[Début]]+Tableau1[[#This Row],[Taille]]-1</f>
        <v>395</v>
      </c>
      <c r="E68" s="6" t="s">
        <v>32</v>
      </c>
      <c r="F68" s="6" t="s">
        <v>147</v>
      </c>
      <c r="G68" s="6" t="s">
        <v>100</v>
      </c>
      <c r="H68" s="8" t="s">
        <v>148</v>
      </c>
    </row>
    <row r="69" spans="1:8" ht="31.2" x14ac:dyDescent="0.3">
      <c r="A69" s="5" t="s">
        <v>149</v>
      </c>
      <c r="B69" s="6">
        <v>1</v>
      </c>
      <c r="C69" s="6">
        <f t="shared" si="0"/>
        <v>396</v>
      </c>
      <c r="D69" s="6">
        <f>Tableau1[[#This Row],[Début]]+Tableau1[[#This Row],[Taille]]-1</f>
        <v>396</v>
      </c>
      <c r="E69" s="6" t="s">
        <v>32</v>
      </c>
      <c r="F69" s="6">
        <v>71</v>
      </c>
      <c r="G69" s="6" t="s">
        <v>100</v>
      </c>
      <c r="H69" s="8" t="s">
        <v>150</v>
      </c>
    </row>
    <row r="70" spans="1:8" ht="15.6" x14ac:dyDescent="0.3">
      <c r="A70" s="5" t="s">
        <v>151</v>
      </c>
      <c r="B70" s="6">
        <v>25</v>
      </c>
      <c r="C70" s="6">
        <f t="shared" si="0"/>
        <v>397</v>
      </c>
      <c r="D70" s="6">
        <f>Tableau1[[#This Row],[Début]]+Tableau1[[#This Row],[Taille]]-1</f>
        <v>421</v>
      </c>
      <c r="E70" s="6" t="s">
        <v>32</v>
      </c>
      <c r="F70" s="6" t="s">
        <v>152</v>
      </c>
      <c r="G70" s="6" t="s">
        <v>100</v>
      </c>
      <c r="H70" s="8" t="s">
        <v>153</v>
      </c>
    </row>
    <row r="71" spans="1:8" ht="15.6" x14ac:dyDescent="0.3">
      <c r="A71" s="5" t="s">
        <v>154</v>
      </c>
      <c r="B71" s="6">
        <v>15</v>
      </c>
      <c r="C71" s="6">
        <f t="shared" si="0"/>
        <v>422</v>
      </c>
      <c r="D71" s="6">
        <f>Tableau1[[#This Row],[Début]]+Tableau1[[#This Row],[Taille]]-1</f>
        <v>436</v>
      </c>
      <c r="E71" s="6" t="s">
        <v>32</v>
      </c>
      <c r="F71" s="6" t="s">
        <v>155</v>
      </c>
      <c r="G71" s="6" t="s">
        <v>100</v>
      </c>
      <c r="H71" s="8" t="s">
        <v>153</v>
      </c>
    </row>
    <row r="72" spans="1:8" ht="15.6" x14ac:dyDescent="0.3">
      <c r="A72" s="5" t="s">
        <v>156</v>
      </c>
      <c r="B72" s="6">
        <v>1</v>
      </c>
      <c r="C72" s="6">
        <f t="shared" ref="C72:C85" si="1">D71+1</f>
        <v>437</v>
      </c>
      <c r="D72" s="6">
        <f>Tableau1[[#This Row],[Début]]+Tableau1[[#This Row],[Taille]]-1</f>
        <v>437</v>
      </c>
      <c r="E72" s="6" t="s">
        <v>32</v>
      </c>
      <c r="F72" s="6">
        <v>121</v>
      </c>
      <c r="G72" s="6" t="s">
        <v>100</v>
      </c>
      <c r="H72" s="8" t="s">
        <v>157</v>
      </c>
    </row>
    <row r="73" spans="1:8" ht="15.6" x14ac:dyDescent="0.3">
      <c r="A73" s="5" t="s">
        <v>158</v>
      </c>
      <c r="B73" s="6">
        <v>1</v>
      </c>
      <c r="C73" s="6">
        <f t="shared" si="1"/>
        <v>438</v>
      </c>
      <c r="D73" s="6">
        <f>Tableau1[[#This Row],[Début]]+Tableau1[[#This Row],[Taille]]-1</f>
        <v>438</v>
      </c>
      <c r="E73" s="6"/>
      <c r="F73" s="6"/>
      <c r="G73" s="6" t="s">
        <v>34</v>
      </c>
      <c r="H73" s="8" t="s">
        <v>159</v>
      </c>
    </row>
    <row r="74" spans="1:8" ht="15.6" x14ac:dyDescent="0.3">
      <c r="A74" s="5" t="s">
        <v>160</v>
      </c>
      <c r="B74" s="6">
        <v>14</v>
      </c>
      <c r="C74" s="6">
        <f t="shared" si="1"/>
        <v>439</v>
      </c>
      <c r="D74" s="6">
        <f>Tableau1[[#This Row],[Début]]+Tableau1[[#This Row],[Taille]]-1</f>
        <v>452</v>
      </c>
      <c r="E74" s="6" t="s">
        <v>161</v>
      </c>
      <c r="F74" s="6" t="s">
        <v>162</v>
      </c>
      <c r="G74" s="6" t="s">
        <v>34</v>
      </c>
      <c r="H74" s="8" t="s">
        <v>163</v>
      </c>
    </row>
    <row r="75" spans="1:8" ht="15.6" x14ac:dyDescent="0.3">
      <c r="A75" s="5" t="s">
        <v>164</v>
      </c>
      <c r="B75" s="6">
        <v>14</v>
      </c>
      <c r="C75" s="6">
        <f t="shared" si="1"/>
        <v>453</v>
      </c>
      <c r="D75" s="6">
        <f>Tableau1[[#This Row],[Début]]+Tableau1[[#This Row],[Taille]]-1</f>
        <v>466</v>
      </c>
      <c r="E75" s="6" t="s">
        <v>161</v>
      </c>
      <c r="F75" s="6" t="s">
        <v>162</v>
      </c>
      <c r="G75" s="6" t="s">
        <v>34</v>
      </c>
      <c r="H75" s="8" t="s">
        <v>165</v>
      </c>
    </row>
    <row r="76" spans="1:8" ht="15.6" x14ac:dyDescent="0.3">
      <c r="A76" s="5" t="s">
        <v>166</v>
      </c>
      <c r="B76" s="12">
        <v>4</v>
      </c>
      <c r="C76" s="6">
        <f t="shared" si="1"/>
        <v>467</v>
      </c>
      <c r="D76" s="12">
        <f>Tableau1[[#This Row],[Début]]+Tableau1[[#This Row],[Taille]]-1</f>
        <v>470</v>
      </c>
      <c r="E76" s="6"/>
      <c r="F76" s="6"/>
      <c r="G76" s="12" t="s">
        <v>34</v>
      </c>
      <c r="H76" s="10" t="s">
        <v>167</v>
      </c>
    </row>
    <row r="77" spans="1:8" ht="15.6" x14ac:dyDescent="0.3">
      <c r="A77" s="5" t="s">
        <v>168</v>
      </c>
      <c r="B77" s="6">
        <v>3</v>
      </c>
      <c r="C77" s="12">
        <f t="shared" si="1"/>
        <v>471</v>
      </c>
      <c r="D77" s="12">
        <f>Tableau1[[#This Row],[Début]]+Tableau1[[#This Row],[Taille]]-1</f>
        <v>473</v>
      </c>
      <c r="E77" s="6">
        <v>3</v>
      </c>
      <c r="F77" s="6" t="s">
        <v>169</v>
      </c>
      <c r="G77" s="13" t="s">
        <v>12</v>
      </c>
      <c r="H77" s="8"/>
    </row>
    <row r="78" spans="1:8" ht="15.6" x14ac:dyDescent="0.3">
      <c r="A78" s="5" t="s">
        <v>170</v>
      </c>
      <c r="B78" s="6">
        <v>2</v>
      </c>
      <c r="C78" s="12">
        <f t="shared" si="1"/>
        <v>474</v>
      </c>
      <c r="D78" s="12">
        <f>Tableau1[[#This Row],[Début]]+Tableau1[[#This Row],[Taille]]-1</f>
        <v>475</v>
      </c>
      <c r="E78" s="6">
        <v>3</v>
      </c>
      <c r="F78" s="6" t="s">
        <v>171</v>
      </c>
      <c r="G78" s="13" t="s">
        <v>12</v>
      </c>
      <c r="H78" s="8"/>
    </row>
    <row r="79" spans="1:8" ht="15.6" x14ac:dyDescent="0.3">
      <c r="A79" s="5" t="s">
        <v>172</v>
      </c>
      <c r="B79" s="6">
        <v>8</v>
      </c>
      <c r="C79" s="12">
        <f t="shared" si="1"/>
        <v>476</v>
      </c>
      <c r="D79" s="12">
        <f>Tableau1[[#This Row],[Début]]+Tableau1[[#This Row],[Taille]]-1</f>
        <v>483</v>
      </c>
      <c r="E79" s="6">
        <v>3</v>
      </c>
      <c r="F79" s="6" t="s">
        <v>173</v>
      </c>
      <c r="G79" s="6" t="s">
        <v>12</v>
      </c>
      <c r="H79" s="8" t="s">
        <v>174</v>
      </c>
    </row>
    <row r="80" spans="1:8" ht="15.6" x14ac:dyDescent="0.3">
      <c r="A80" s="5" t="s">
        <v>175</v>
      </c>
      <c r="B80" s="6">
        <v>8</v>
      </c>
      <c r="C80" s="12">
        <f t="shared" si="1"/>
        <v>484</v>
      </c>
      <c r="D80" s="12">
        <f>Tableau1[[#This Row],[Début]]+Tableau1[[#This Row],[Taille]]-1</f>
        <v>491</v>
      </c>
      <c r="E80" s="6">
        <v>3</v>
      </c>
      <c r="F80" s="6" t="s">
        <v>176</v>
      </c>
      <c r="G80" s="6" t="s">
        <v>12</v>
      </c>
      <c r="H80" s="8" t="s">
        <v>174</v>
      </c>
    </row>
    <row r="81" spans="1:8" ht="15.6" x14ac:dyDescent="0.3">
      <c r="A81" s="14" t="s">
        <v>177</v>
      </c>
      <c r="B81" s="13">
        <v>3</v>
      </c>
      <c r="C81" s="12">
        <f t="shared" si="1"/>
        <v>492</v>
      </c>
      <c r="D81" s="12">
        <f>Tableau1[[#This Row],[Début]]+Tableau1[[#This Row],[Taille]]-1</f>
        <v>494</v>
      </c>
      <c r="E81" s="13">
        <v>3</v>
      </c>
      <c r="F81" s="13" t="s">
        <v>178</v>
      </c>
      <c r="G81" s="13" t="s">
        <v>12</v>
      </c>
      <c r="H81" s="15" t="s">
        <v>179</v>
      </c>
    </row>
    <row r="82" spans="1:8" ht="15.6" x14ac:dyDescent="0.3">
      <c r="A82" s="5" t="s">
        <v>180</v>
      </c>
      <c r="B82" s="6">
        <v>7</v>
      </c>
      <c r="C82" s="12">
        <f t="shared" si="1"/>
        <v>495</v>
      </c>
      <c r="D82" s="12">
        <f>Tableau1[[#This Row],[Début]]+Tableau1[[#This Row],[Taille]]-1</f>
        <v>501</v>
      </c>
      <c r="E82" s="6">
        <v>3</v>
      </c>
      <c r="F82" s="6" t="s">
        <v>181</v>
      </c>
      <c r="G82" s="6" t="s">
        <v>12</v>
      </c>
      <c r="H82" s="8" t="s">
        <v>182</v>
      </c>
    </row>
    <row r="83" spans="1:8" ht="15.6" x14ac:dyDescent="0.3">
      <c r="A83" s="5" t="s">
        <v>183</v>
      </c>
      <c r="B83" s="6">
        <v>8</v>
      </c>
      <c r="C83" s="12">
        <f t="shared" si="1"/>
        <v>502</v>
      </c>
      <c r="D83" s="12">
        <f>Tableau1[[#This Row],[Début]]+Tableau1[[#This Row],[Taille]]-1</f>
        <v>509</v>
      </c>
      <c r="E83" s="6">
        <v>3</v>
      </c>
      <c r="F83" s="6" t="s">
        <v>184</v>
      </c>
      <c r="G83" s="6" t="s">
        <v>12</v>
      </c>
      <c r="H83" s="8" t="s">
        <v>185</v>
      </c>
    </row>
    <row r="84" spans="1:8" ht="15.6" x14ac:dyDescent="0.3">
      <c r="A84" s="5" t="s">
        <v>186</v>
      </c>
      <c r="B84" s="6">
        <v>3</v>
      </c>
      <c r="C84" s="12">
        <f t="shared" si="1"/>
        <v>510</v>
      </c>
      <c r="D84" s="12">
        <f>Tableau1[[#This Row],[Début]]+Tableau1[[#This Row],[Taille]]-1</f>
        <v>512</v>
      </c>
      <c r="E84" s="6">
        <v>3</v>
      </c>
      <c r="F84" s="6" t="s">
        <v>187</v>
      </c>
      <c r="G84" s="6" t="s">
        <v>12</v>
      </c>
      <c r="H84" s="8"/>
    </row>
    <row r="85" spans="1:8" ht="15.6" x14ac:dyDescent="0.3">
      <c r="A85" s="5" t="s">
        <v>188</v>
      </c>
      <c r="B85" s="6">
        <v>8</v>
      </c>
      <c r="C85" s="12">
        <f t="shared" si="1"/>
        <v>513</v>
      </c>
      <c r="D85" s="12">
        <f>Tableau1[[#This Row],[Début]]+Tableau1[[#This Row],[Taille]]-1</f>
        <v>520</v>
      </c>
      <c r="E85" s="6">
        <v>3</v>
      </c>
      <c r="F85" s="6" t="s">
        <v>189</v>
      </c>
      <c r="G85" s="6" t="s">
        <v>12</v>
      </c>
      <c r="H85" s="8" t="s">
        <v>185</v>
      </c>
    </row>
    <row r="86" spans="1:8" ht="15.6" x14ac:dyDescent="0.3">
      <c r="A86" s="5" t="s">
        <v>190</v>
      </c>
      <c r="B86" s="6"/>
      <c r="C86" s="6"/>
      <c r="D86" s="6"/>
      <c r="E86" s="6"/>
      <c r="F86" s="6"/>
      <c r="G86" s="6"/>
      <c r="H86" s="8"/>
    </row>
    <row r="87" spans="1:8" ht="15.6" x14ac:dyDescent="0.3">
      <c r="A87" s="5" t="s">
        <v>191</v>
      </c>
      <c r="B87" s="6">
        <v>3</v>
      </c>
      <c r="C87" s="6"/>
      <c r="D87" s="6"/>
      <c r="E87" s="6">
        <v>3</v>
      </c>
      <c r="F87" s="6" t="s">
        <v>169</v>
      </c>
      <c r="G87" s="6" t="s">
        <v>12</v>
      </c>
      <c r="H87" s="8"/>
    </row>
    <row r="88" spans="1:8" ht="15.6" x14ac:dyDescent="0.3">
      <c r="A88" s="5" t="s">
        <v>170</v>
      </c>
      <c r="B88" s="6">
        <v>2</v>
      </c>
      <c r="C88" s="6"/>
      <c r="D88" s="6"/>
      <c r="E88" s="6">
        <v>3</v>
      </c>
      <c r="F88" s="6" t="s">
        <v>171</v>
      </c>
      <c r="G88" s="6" t="s">
        <v>12</v>
      </c>
      <c r="H88" s="8"/>
    </row>
    <row r="89" spans="1:8" ht="15.6" x14ac:dyDescent="0.3">
      <c r="A89" s="5" t="s">
        <v>172</v>
      </c>
      <c r="B89" s="6">
        <v>8</v>
      </c>
      <c r="C89" s="6"/>
      <c r="D89" s="6"/>
      <c r="E89" s="6">
        <v>3</v>
      </c>
      <c r="F89" s="6" t="s">
        <v>173</v>
      </c>
      <c r="G89" s="6" t="s">
        <v>12</v>
      </c>
      <c r="H89" s="8" t="s">
        <v>174</v>
      </c>
    </row>
    <row r="90" spans="1:8" ht="15.6" x14ac:dyDescent="0.3">
      <c r="A90" s="5" t="s">
        <v>175</v>
      </c>
      <c r="B90" s="6">
        <v>8</v>
      </c>
      <c r="C90" s="6"/>
      <c r="D90" s="6"/>
      <c r="E90" s="6">
        <v>3</v>
      </c>
      <c r="F90" s="6" t="s">
        <v>176</v>
      </c>
      <c r="G90" s="6" t="s">
        <v>12</v>
      </c>
      <c r="H90" s="8" t="s">
        <v>174</v>
      </c>
    </row>
    <row r="91" spans="1:8" ht="15.6" x14ac:dyDescent="0.3">
      <c r="A91" s="14" t="s">
        <v>177</v>
      </c>
      <c r="B91" s="13">
        <v>3</v>
      </c>
      <c r="C91" s="16"/>
      <c r="D91" s="16"/>
      <c r="E91" s="13">
        <v>3</v>
      </c>
      <c r="F91" s="13" t="s">
        <v>178</v>
      </c>
      <c r="G91" s="13" t="s">
        <v>12</v>
      </c>
      <c r="H91" s="15" t="s">
        <v>179</v>
      </c>
    </row>
    <row r="92" spans="1:8" ht="15.6" x14ac:dyDescent="0.3">
      <c r="A92" s="5" t="s">
        <v>180</v>
      </c>
      <c r="B92" s="6">
        <v>7</v>
      </c>
      <c r="C92" s="6"/>
      <c r="D92" s="6"/>
      <c r="E92" s="6">
        <v>3</v>
      </c>
      <c r="F92" s="6" t="s">
        <v>181</v>
      </c>
      <c r="G92" s="6" t="s">
        <v>12</v>
      </c>
      <c r="H92" s="8" t="s">
        <v>182</v>
      </c>
    </row>
    <row r="93" spans="1:8" ht="15.6" x14ac:dyDescent="0.3">
      <c r="A93" s="5" t="s">
        <v>183</v>
      </c>
      <c r="B93" s="6">
        <v>8</v>
      </c>
      <c r="C93" s="6"/>
      <c r="D93" s="6"/>
      <c r="E93" s="6">
        <v>3</v>
      </c>
      <c r="F93" s="6" t="s">
        <v>184</v>
      </c>
      <c r="G93" s="6" t="s">
        <v>12</v>
      </c>
      <c r="H93" s="8" t="s">
        <v>185</v>
      </c>
    </row>
    <row r="94" spans="1:8" ht="15.6" x14ac:dyDescent="0.3">
      <c r="A94" s="5" t="s">
        <v>186</v>
      </c>
      <c r="B94" s="6">
        <v>3</v>
      </c>
      <c r="C94" s="6"/>
      <c r="D94" s="6"/>
      <c r="E94" s="6">
        <v>3</v>
      </c>
      <c r="F94" s="6" t="s">
        <v>187</v>
      </c>
      <c r="G94" s="6" t="s">
        <v>12</v>
      </c>
      <c r="H94" s="8"/>
    </row>
    <row r="95" spans="1:8" ht="15.6" x14ac:dyDescent="0.3">
      <c r="A95" s="5" t="s">
        <v>188</v>
      </c>
      <c r="B95" s="6">
        <v>8</v>
      </c>
      <c r="C95" s="6"/>
      <c r="D95" s="6"/>
      <c r="E95" s="6">
        <v>3</v>
      </c>
      <c r="F95" s="6" t="s">
        <v>189</v>
      </c>
      <c r="G95" s="6" t="s">
        <v>12</v>
      </c>
      <c r="H95" s="8" t="s">
        <v>185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5CACAF3D0DBF47B4B7329CC7C38D90" ma:contentTypeVersion="12" ma:contentTypeDescription="Crée un document." ma:contentTypeScope="" ma:versionID="77303c349655be1361a3b491e54e2ae6">
  <xsd:schema xmlns:xsd="http://www.w3.org/2001/XMLSchema" xmlns:xs="http://www.w3.org/2001/XMLSchema" xmlns:p="http://schemas.microsoft.com/office/2006/metadata/properties" xmlns:ns3="61b289d8-0fda-470c-8964-0b9a4c862c1d" targetNamespace="http://schemas.microsoft.com/office/2006/metadata/properties" ma:root="true" ma:fieldsID="cd218b56544352d93ad56e8df02c2b5b" ns3:_="">
    <xsd:import namespace="61b289d8-0fda-470c-8964-0b9a4c862c1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289d8-0fda-470c-8964-0b9a4c862c1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1b289d8-0fda-470c-8964-0b9a4c862c1d" xsi:nil="true"/>
  </documentManagement>
</p:properties>
</file>

<file path=customXml/itemProps1.xml><?xml version="1.0" encoding="utf-8"?>
<ds:datastoreItem xmlns:ds="http://schemas.openxmlformats.org/officeDocument/2006/customXml" ds:itemID="{5635DC60-4857-4458-8EE4-F2612EC65F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289d8-0fda-470c-8964-0b9a4c862c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08FC4B-E81B-42FB-9106-4496E7A3B190}">
  <ds:schemaRefs>
    <ds:schemaRef ds:uri="http://schemas.microsoft.com/sharepoint/v3/contenttype/forms"/>
  </ds:schemaRefs>
</ds:datastoreItem>
</file>

<file path=customXml/itemProps3.xml><?xml version="1.0" encoding="utf-8"?>
<ds:datastoreItem xmlns:ds="http://schemas.openxmlformats.org/officeDocument/2006/customXml" ds:itemID="{877A88FE-E61D-44D9-8E55-8F177CE2F01B}">
  <ds:schemaRefs>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schemas.microsoft.com/office/2006/documentManagement/types"/>
    <ds:schemaRef ds:uri="http://purl.org/dc/elements/1.1/"/>
    <ds:schemaRef ds:uri="61b289d8-0fda-470c-8964-0b9a4c862c1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VID-HOSP_V16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Noureddine Benachour</dc:creator>
  <cp:lastModifiedBy>Noureddine Benachour</cp:lastModifiedBy>
  <dcterms:created xsi:type="dcterms:W3CDTF">2026-05-15T08:20:56Z</dcterms:created>
  <dcterms:modified xsi:type="dcterms:W3CDTF">2026-05-15T08:23:05Z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0x010100205CACAF3D0DBF47B4B7329CC7C38D90</vt:lpwstr>
  </property>
</Properties>
</file>